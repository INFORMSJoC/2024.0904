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C:\GXYCreate\Work1\初稿\Instances and Results - Upload\Results\Algorithm_Comparison\"/>
    </mc:Choice>
  </mc:AlternateContent>
  <xr:revisionPtr revIDLastSave="0" documentId="13_ncr:1_{57AD1011-623C-423E-AB8C-79F6530455A2}" xr6:coauthVersionLast="47" xr6:coauthVersionMax="47" xr10:uidLastSave="{00000000-0000-0000-0000-000000000000}"/>
  <bookViews>
    <workbookView xWindow="-110" yWindow="-110" windowWidth="25820" windowHeight="13900" activeTab="1" xr2:uid="{00000000-000D-0000-FFFF-FFFF00000000}"/>
  </bookViews>
  <sheets>
    <sheet name="Basic-C" sheetId="1" r:id="rId1"/>
    <sheet name="Summary" sheetId="4" r:id="rId2"/>
  </sheets>
  <definedNames>
    <definedName name="_xlnm._FilterDatabase" localSheetId="0" hidden="1">'Basic-C'!$E$1:$E$311</definedName>
    <definedName name="_xlnm._FilterDatabase" localSheetId="1" hidden="1">Summary!$B$1:$B$8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62" i="1" l="1"/>
  <c r="D32" i="1"/>
  <c r="D62" i="1"/>
</calcChain>
</file>

<file path=xl/sharedStrings.xml><?xml version="1.0" encoding="utf-8"?>
<sst xmlns="http://schemas.openxmlformats.org/spreadsheetml/2006/main" count="264" uniqueCount="241">
  <si>
    <t>Ins</t>
  </si>
  <si>
    <t>LB.2nd.Stage</t>
  </si>
  <si>
    <t>Time.LB</t>
  </si>
  <si>
    <t>OP.status</t>
  </si>
  <si>
    <t>MP.Status</t>
  </si>
  <si>
    <t>SP.Status</t>
  </si>
  <si>
    <t>Num.Iteration</t>
  </si>
  <si>
    <t>Gap</t>
  </si>
  <si>
    <t>Total.Time</t>
  </si>
  <si>
    <t>Total.Time.MP</t>
  </si>
  <si>
    <t>Total.Time.SP</t>
  </si>
  <si>
    <t>Avg.Time.SP</t>
  </si>
  <si>
    <t>UB</t>
  </si>
  <si>
    <t>LB</t>
  </si>
  <si>
    <t>Obj.MP</t>
  </si>
  <si>
    <t>Obj-F1F2</t>
  </si>
  <si>
    <t>Obj-theta</t>
  </si>
  <si>
    <t>Obj-SP</t>
  </si>
  <si>
    <t>Num.OptCut</t>
  </si>
  <si>
    <t>Num.NogoodCut</t>
  </si>
  <si>
    <t>10_9</t>
  </si>
  <si>
    <t>10_8</t>
  </si>
  <si>
    <t>10_10</t>
  </si>
  <si>
    <t>10_4</t>
  </si>
  <si>
    <t>10_2</t>
  </si>
  <si>
    <t>10_7</t>
  </si>
  <si>
    <t>10_3</t>
  </si>
  <si>
    <t>10_1</t>
  </si>
  <si>
    <t>10_5</t>
  </si>
  <si>
    <t>10_6</t>
  </si>
  <si>
    <t>10_18</t>
  </si>
  <si>
    <t>10_12</t>
  </si>
  <si>
    <t>10_13</t>
  </si>
  <si>
    <t>10_15</t>
  </si>
  <si>
    <t>10_16</t>
  </si>
  <si>
    <t>10_20</t>
  </si>
  <si>
    <t>10_11</t>
  </si>
  <si>
    <t>10_19</t>
  </si>
  <si>
    <t>10_14</t>
  </si>
  <si>
    <t>10_17</t>
  </si>
  <si>
    <t>10_24</t>
  </si>
  <si>
    <t>10_23</t>
  </si>
  <si>
    <t>10_21</t>
  </si>
  <si>
    <t>10_25</t>
  </si>
  <si>
    <t>10_26</t>
  </si>
  <si>
    <t>10_28</t>
  </si>
  <si>
    <t>10_22</t>
  </si>
  <si>
    <t>10_29</t>
  </si>
  <si>
    <t>10_30</t>
  </si>
  <si>
    <t>10_27</t>
  </si>
  <si>
    <t>20_17</t>
  </si>
  <si>
    <t>20_22</t>
  </si>
  <si>
    <t>20_20</t>
  </si>
  <si>
    <t>20_24</t>
  </si>
  <si>
    <t>20_18</t>
  </si>
  <si>
    <t>20_21</t>
  </si>
  <si>
    <t>20_19</t>
  </si>
  <si>
    <t>20_25</t>
  </si>
  <si>
    <t>20_27</t>
  </si>
  <si>
    <t>20_30</t>
  </si>
  <si>
    <t>20_23</t>
  </si>
  <si>
    <t>20_12</t>
  </si>
  <si>
    <t>20_28</t>
  </si>
  <si>
    <t>20_29</t>
  </si>
  <si>
    <t>20_1</t>
  </si>
  <si>
    <t>20_26</t>
  </si>
  <si>
    <t>20_6</t>
  </si>
  <si>
    <t>20_2</t>
  </si>
  <si>
    <t>20_5</t>
  </si>
  <si>
    <t>20_3</t>
  </si>
  <si>
    <t>20_11</t>
  </si>
  <si>
    <t>20_7</t>
  </si>
  <si>
    <t>20_8</t>
  </si>
  <si>
    <t>20_4</t>
  </si>
  <si>
    <t>20_13</t>
  </si>
  <si>
    <t>20_15</t>
  </si>
  <si>
    <t>20_16</t>
  </si>
  <si>
    <t>20_14</t>
  </si>
  <si>
    <t>20_9</t>
  </si>
  <si>
    <t>20_10</t>
  </si>
  <si>
    <t>30_3</t>
  </si>
  <si>
    <t>30_2</t>
  </si>
  <si>
    <t>30_1</t>
  </si>
  <si>
    <t>30_6</t>
  </si>
  <si>
    <t>30_11</t>
  </si>
  <si>
    <t>30_12</t>
  </si>
  <si>
    <t>30_10</t>
  </si>
  <si>
    <t>30_9</t>
  </si>
  <si>
    <t>30_14</t>
  </si>
  <si>
    <t>30_24</t>
  </si>
  <si>
    <t>30_20</t>
  </si>
  <si>
    <t>30_23</t>
  </si>
  <si>
    <t>30_19</t>
  </si>
  <si>
    <t>30_22</t>
  </si>
  <si>
    <t>30_4</t>
  </si>
  <si>
    <t>30_5</t>
  </si>
  <si>
    <t>30_25</t>
  </si>
  <si>
    <t>30_13</t>
  </si>
  <si>
    <t>30_27</t>
  </si>
  <si>
    <t>30_17</t>
  </si>
  <si>
    <t>30_16</t>
  </si>
  <si>
    <t>30_21</t>
  </si>
  <si>
    <t>30_29</t>
  </si>
  <si>
    <t>30_30</t>
  </si>
  <si>
    <t>30_8</t>
  </si>
  <si>
    <t>30_26</t>
  </si>
  <si>
    <t>30_28</t>
  </si>
  <si>
    <t>30_15</t>
  </si>
  <si>
    <t>30_7</t>
  </si>
  <si>
    <t>30_18</t>
  </si>
  <si>
    <t>60_9</t>
  </si>
  <si>
    <t>60_6</t>
  </si>
  <si>
    <t>60_3</t>
  </si>
  <si>
    <t>60_7</t>
  </si>
  <si>
    <t>60_1</t>
  </si>
  <si>
    <t>60_5</t>
  </si>
  <si>
    <t>60_8</t>
  </si>
  <si>
    <t>60_2</t>
  </si>
  <si>
    <t>60_4</t>
  </si>
  <si>
    <t>60_10</t>
  </si>
  <si>
    <t>60_14</t>
  </si>
  <si>
    <t>60_11</t>
  </si>
  <si>
    <t>60_15</t>
  </si>
  <si>
    <t>60_13</t>
  </si>
  <si>
    <t>60_12</t>
  </si>
  <si>
    <t>60_20</t>
  </si>
  <si>
    <t>60_18</t>
  </si>
  <si>
    <t>60_19</t>
  </si>
  <si>
    <t>60_17</t>
  </si>
  <si>
    <t>60_16</t>
  </si>
  <si>
    <t>60_23</t>
  </si>
  <si>
    <t>60_21</t>
  </si>
  <si>
    <t>60_22</t>
  </si>
  <si>
    <t>60_24</t>
  </si>
  <si>
    <t>60_26</t>
  </si>
  <si>
    <t>60_25</t>
  </si>
  <si>
    <t>60_27</t>
  </si>
  <si>
    <t>60_29</t>
  </si>
  <si>
    <t>60_28</t>
  </si>
  <si>
    <t>60_30</t>
  </si>
  <si>
    <t>50_5</t>
  </si>
  <si>
    <t>50_2</t>
  </si>
  <si>
    <t>50_4</t>
  </si>
  <si>
    <t>50_3</t>
  </si>
  <si>
    <t>50_7</t>
  </si>
  <si>
    <t>50_6</t>
  </si>
  <si>
    <t>50_1</t>
  </si>
  <si>
    <t>50_15</t>
  </si>
  <si>
    <t>50_8</t>
  </si>
  <si>
    <t>50_12</t>
  </si>
  <si>
    <t>50_14</t>
  </si>
  <si>
    <t>50_11</t>
  </si>
  <si>
    <t>50_10</t>
  </si>
  <si>
    <t>50_13</t>
  </si>
  <si>
    <t>50_18</t>
  </si>
  <si>
    <t>50_16</t>
  </si>
  <si>
    <t>50_17</t>
  </si>
  <si>
    <t>50_19</t>
  </si>
  <si>
    <t>50_20</t>
  </si>
  <si>
    <t>50_22</t>
  </si>
  <si>
    <t>50_21</t>
  </si>
  <si>
    <t>50_23</t>
  </si>
  <si>
    <t>50_24</t>
  </si>
  <si>
    <t>50_27</t>
  </si>
  <si>
    <t>50_25</t>
  </si>
  <si>
    <t>50_26</t>
  </si>
  <si>
    <t>50_28</t>
  </si>
  <si>
    <t>50_31</t>
  </si>
  <si>
    <t>50_29</t>
  </si>
  <si>
    <t>50_30</t>
  </si>
  <si>
    <t>40_4</t>
  </si>
  <si>
    <t>40_5</t>
  </si>
  <si>
    <t>40_15</t>
  </si>
  <si>
    <t>40_3</t>
  </si>
  <si>
    <t>40_2</t>
  </si>
  <si>
    <t>40_1</t>
  </si>
  <si>
    <t>40_12</t>
  </si>
  <si>
    <t>40_11</t>
  </si>
  <si>
    <t>40_14</t>
  </si>
  <si>
    <t>40_9</t>
  </si>
  <si>
    <t>40_8</t>
  </si>
  <si>
    <t>40_7</t>
  </si>
  <si>
    <t>40_10</t>
  </si>
  <si>
    <t>40_6</t>
  </si>
  <si>
    <t>40_23</t>
  </si>
  <si>
    <t>40_13</t>
  </si>
  <si>
    <t>40_19</t>
  </si>
  <si>
    <t>40_20</t>
  </si>
  <si>
    <t>40_21</t>
  </si>
  <si>
    <t>40_18</t>
  </si>
  <si>
    <t>40_17</t>
  </si>
  <si>
    <t>40_16</t>
  </si>
  <si>
    <t>40_22</t>
  </si>
  <si>
    <t>40_25</t>
  </si>
  <si>
    <t>40_24</t>
  </si>
  <si>
    <t>40_26</t>
  </si>
  <si>
    <t>40_28</t>
  </si>
  <si>
    <t>40_30</t>
  </si>
  <si>
    <t>40_27</t>
  </si>
  <si>
    <t>40_29</t>
  </si>
  <si>
    <t>70_1</t>
  </si>
  <si>
    <t>70_2</t>
  </si>
  <si>
    <t>70_3</t>
  </si>
  <si>
    <t>70_12</t>
  </si>
  <si>
    <t>70_8</t>
  </si>
  <si>
    <t>70_11</t>
  </si>
  <si>
    <t>70_9</t>
  </si>
  <si>
    <t>70_6</t>
  </si>
  <si>
    <t>70_7</t>
  </si>
  <si>
    <t>70_4</t>
  </si>
  <si>
    <t>70_5</t>
  </si>
  <si>
    <t>70_10</t>
  </si>
  <si>
    <t>70_13</t>
  </si>
  <si>
    <t>70_14</t>
  </si>
  <si>
    <t>70_15</t>
  </si>
  <si>
    <t>70_16</t>
  </si>
  <si>
    <t>70_17</t>
  </si>
  <si>
    <t>70_18</t>
  </si>
  <si>
    <t>70_19</t>
  </si>
  <si>
    <t>70_20</t>
  </si>
  <si>
    <t>70_22</t>
  </si>
  <si>
    <t>70_28</t>
  </si>
  <si>
    <t>70_29</t>
  </si>
  <si>
    <t>70_23</t>
  </si>
  <si>
    <t>70_24</t>
  </si>
  <si>
    <t>70_21</t>
  </si>
  <si>
    <t>70_26</t>
  </si>
  <si>
    <t>70_27</t>
  </si>
  <si>
    <t>70_25</t>
  </si>
  <si>
    <t>70_30</t>
  </si>
  <si>
    <t>Num.Ins.Opt</t>
    <phoneticPr fontId="18" type="noConversion"/>
  </si>
  <si>
    <t>Avg.Gap</t>
    <phoneticPr fontId="18" type="noConversion"/>
  </si>
  <si>
    <t>Avg.Nogood</t>
    <phoneticPr fontId="18" type="noConversion"/>
  </si>
  <si>
    <t>—</t>
    <phoneticPr fontId="18" type="noConversion"/>
  </si>
  <si>
    <t>——</t>
  </si>
  <si>
    <t>Avg.Iter</t>
  </si>
  <si>
    <t>Avg.Total.Time</t>
  </si>
  <si>
    <t>Num.Ins.Solved</t>
  </si>
  <si>
    <t>Avg.MP.Time</t>
  </si>
  <si>
    <t>&gt;3600</t>
  </si>
  <si>
    <t>d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</si>
</sst>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8"/>
      <color theme="3"/>
      <name val="等线 Light"/>
      <family val="2"/>
      <charset val="134"/>
      <scheme val="major"/>
    </font>
    <font>
      <b/>
      <sz val="15"/>
      <color theme="3"/>
      <name val="等线"/>
      <family val="2"/>
      <charset val="134"/>
      <scheme val="minor"/>
    </font>
    <font>
      <b/>
      <sz val="13"/>
      <color theme="3"/>
      <name val="等线"/>
      <family val="2"/>
      <charset val="134"/>
      <scheme val="minor"/>
    </font>
    <font>
      <b/>
      <sz val="11"/>
      <color theme="3"/>
      <name val="等线"/>
      <family val="2"/>
      <charset val="134"/>
      <scheme val="minor"/>
    </font>
    <font>
      <sz val="11"/>
      <color rgb="FF006100"/>
      <name val="等线"/>
      <family val="2"/>
      <charset val="134"/>
      <scheme val="minor"/>
    </font>
    <font>
      <sz val="11"/>
      <color rgb="FF9C0006"/>
      <name val="等线"/>
      <family val="2"/>
      <charset val="134"/>
      <scheme val="minor"/>
    </font>
    <font>
      <sz val="11"/>
      <color rgb="FF9C5700"/>
      <name val="等线"/>
      <family val="2"/>
      <charset val="134"/>
      <scheme val="minor"/>
    </font>
    <font>
      <sz val="11"/>
      <color rgb="FF3F3F76"/>
      <name val="等线"/>
      <family val="2"/>
      <charset val="134"/>
      <scheme val="minor"/>
    </font>
    <font>
      <b/>
      <sz val="11"/>
      <color rgb="FF3F3F3F"/>
      <name val="等线"/>
      <family val="2"/>
      <charset val="134"/>
      <scheme val="minor"/>
    </font>
    <font>
      <b/>
      <sz val="11"/>
      <color rgb="FFFA7D00"/>
      <name val="等线"/>
      <family val="2"/>
      <charset val="134"/>
      <scheme val="minor"/>
    </font>
    <font>
      <sz val="11"/>
      <color rgb="FFFA7D00"/>
      <name val="等线"/>
      <family val="2"/>
      <charset val="134"/>
      <scheme val="minor"/>
    </font>
    <font>
      <b/>
      <sz val="11"/>
      <color theme="0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  <font>
      <i/>
      <sz val="11"/>
      <color rgb="FF7F7F7F"/>
      <name val="等线"/>
      <family val="2"/>
      <charset val="134"/>
      <scheme val="minor"/>
    </font>
    <font>
      <b/>
      <sz val="11"/>
      <color theme="1"/>
      <name val="等线"/>
      <family val="2"/>
      <charset val="134"/>
      <scheme val="minor"/>
    </font>
    <font>
      <sz val="11"/>
      <color theme="0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0" fillId="0" borderId="10" xfId="0" applyBorder="1">
      <alignment vertical="center"/>
    </xf>
    <xf numFmtId="0" fontId="0" fillId="33" borderId="0" xfId="0" applyFill="1">
      <alignment vertical="center"/>
    </xf>
    <xf numFmtId="0" fontId="0" fillId="0" borderId="0" xfId="0" applyBorder="1">
      <alignment vertical="center"/>
    </xf>
    <xf numFmtId="0" fontId="0" fillId="33" borderId="0" xfId="0" applyFill="1" applyBorder="1">
      <alignment vertical="center"/>
    </xf>
    <xf numFmtId="0" fontId="0" fillId="0" borderId="0" xfId="0" applyAlignment="1">
      <alignment horizontal="center" vertical="center"/>
    </xf>
  </cellXfs>
  <cellStyles count="42">
    <cellStyle name="20% - 着色 1" xfId="19" builtinId="30" customBuiltin="1"/>
    <cellStyle name="20% - 着色 2" xfId="23" builtinId="34" customBuiltin="1"/>
    <cellStyle name="20% - 着色 3" xfId="27" builtinId="38" customBuiltin="1"/>
    <cellStyle name="20% - 着色 4" xfId="31" builtinId="42" customBuiltin="1"/>
    <cellStyle name="20% - 着色 5" xfId="35" builtinId="46" customBuiltin="1"/>
    <cellStyle name="20% - 着色 6" xfId="39" builtinId="50" customBuiltin="1"/>
    <cellStyle name="40% - 着色 1" xfId="20" builtinId="31" customBuiltin="1"/>
    <cellStyle name="40% - 着色 2" xfId="24" builtinId="35" customBuiltin="1"/>
    <cellStyle name="40% - 着色 3" xfId="28" builtinId="39" customBuiltin="1"/>
    <cellStyle name="40% - 着色 4" xfId="32" builtinId="43" customBuiltin="1"/>
    <cellStyle name="40% - 着色 5" xfId="36" builtinId="47" customBuiltin="1"/>
    <cellStyle name="40% - 着色 6" xfId="40" builtinId="51" customBuiltin="1"/>
    <cellStyle name="60% - 着色 1" xfId="21" builtinId="32" customBuiltin="1"/>
    <cellStyle name="60% - 着色 2" xfId="25" builtinId="36" customBuiltin="1"/>
    <cellStyle name="60% - 着色 3" xfId="29" builtinId="40" customBuiltin="1"/>
    <cellStyle name="60% - 着色 4" xfId="33" builtinId="44" customBuiltin="1"/>
    <cellStyle name="60% - 着色 5" xfId="37" builtinId="48" customBuiltin="1"/>
    <cellStyle name="60% - 着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适中" xfId="8" builtinId="28" customBuiltin="1"/>
    <cellStyle name="输出" xfId="10" builtinId="21" customBuiltin="1"/>
    <cellStyle name="输入" xfId="9" builtinId="20" customBuiltin="1"/>
    <cellStyle name="着色 1" xfId="18" builtinId="29" customBuiltin="1"/>
    <cellStyle name="着色 2" xfId="22" builtinId="33" customBuiltin="1"/>
    <cellStyle name="着色 3" xfId="26" builtinId="37" customBuiltin="1"/>
    <cellStyle name="着色 4" xfId="30" builtinId="41" customBuiltin="1"/>
    <cellStyle name="着色 5" xfId="34" builtinId="45" customBuiltin="1"/>
    <cellStyle name="着色 6" xfId="38" builtinId="49" customBuiltin="1"/>
    <cellStyle name="注释" xfId="15" builtinId="1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Z211"/>
  <sheetViews>
    <sheetView topLeftCell="A181" workbookViewId="0">
      <selection activeCell="L208" sqref="L208"/>
    </sheetView>
  </sheetViews>
  <sheetFormatPr defaultRowHeight="14" x14ac:dyDescent="0.3"/>
  <sheetData>
    <row r="1" spans="1:26" x14ac:dyDescent="0.3">
      <c r="A1" t="s">
        <v>0</v>
      </c>
      <c r="B1" t="s">
        <v>1</v>
      </c>
      <c r="C1" t="s">
        <v>2</v>
      </c>
      <c r="D1" t="s">
        <v>230</v>
      </c>
      <c r="E1" t="s">
        <v>3</v>
      </c>
      <c r="F1" t="s">
        <v>4</v>
      </c>
      <c r="G1" t="s">
        <v>5</v>
      </c>
      <c r="H1" t="s">
        <v>6</v>
      </c>
      <c r="I1" t="s">
        <v>235</v>
      </c>
      <c r="J1" t="s">
        <v>7</v>
      </c>
      <c r="K1" t="s">
        <v>231</v>
      </c>
      <c r="L1" t="s">
        <v>8</v>
      </c>
      <c r="M1" t="s">
        <v>236</v>
      </c>
      <c r="N1" t="s">
        <v>9</v>
      </c>
      <c r="O1" t="s">
        <v>238</v>
      </c>
      <c r="P1" t="s">
        <v>10</v>
      </c>
      <c r="Q1" t="s">
        <v>11</v>
      </c>
      <c r="R1" t="s">
        <v>12</v>
      </c>
      <c r="S1" t="s">
        <v>13</v>
      </c>
      <c r="T1" t="s">
        <v>14</v>
      </c>
      <c r="U1" t="s">
        <v>15</v>
      </c>
      <c r="V1" t="s">
        <v>16</v>
      </c>
      <c r="W1" t="s">
        <v>17</v>
      </c>
      <c r="X1" t="s">
        <v>18</v>
      </c>
      <c r="Y1" t="s">
        <v>19</v>
      </c>
      <c r="Z1" t="s">
        <v>232</v>
      </c>
    </row>
    <row r="2" spans="1:26" x14ac:dyDescent="0.3">
      <c r="A2" t="s">
        <v>20</v>
      </c>
      <c r="B2">
        <v>1200.0000419999999</v>
      </c>
      <c r="C2">
        <v>9.0089999999999996E-3</v>
      </c>
      <c r="D2">
        <v>30</v>
      </c>
      <c r="E2">
        <v>1</v>
      </c>
      <c r="F2">
        <v>1</v>
      </c>
      <c r="G2">
        <v>1</v>
      </c>
      <c r="H2">
        <v>1</v>
      </c>
      <c r="I2">
        <v>1.7333333333333334</v>
      </c>
      <c r="J2">
        <v>0</v>
      </c>
      <c r="K2">
        <v>0</v>
      </c>
      <c r="L2">
        <v>0.957681</v>
      </c>
      <c r="M2">
        <v>2.6154142999999999</v>
      </c>
      <c r="N2">
        <v>0.46327800000000002</v>
      </c>
      <c r="O2">
        <v>0.53136970000000006</v>
      </c>
      <c r="P2">
        <v>0.48539399999999999</v>
      </c>
      <c r="Q2">
        <v>2.0730857333333339</v>
      </c>
      <c r="R2">
        <v>21203.000039999999</v>
      </c>
      <c r="S2">
        <v>21203.000039999999</v>
      </c>
      <c r="T2">
        <v>21203.000039999999</v>
      </c>
      <c r="U2">
        <v>20003</v>
      </c>
      <c r="V2">
        <v>1200.0000419999999</v>
      </c>
      <c r="W2">
        <v>1200.0000419999999</v>
      </c>
      <c r="X2">
        <v>0</v>
      </c>
      <c r="Y2">
        <v>0</v>
      </c>
    </row>
    <row r="3" spans="1:26" x14ac:dyDescent="0.3">
      <c r="A3" t="s">
        <v>21</v>
      </c>
      <c r="B3">
        <v>1549.999961</v>
      </c>
      <c r="C3">
        <v>1.1216E-2</v>
      </c>
      <c r="E3">
        <v>1</v>
      </c>
      <c r="F3">
        <v>1</v>
      </c>
      <c r="G3">
        <v>1</v>
      </c>
      <c r="H3">
        <v>1</v>
      </c>
      <c r="J3">
        <v>0</v>
      </c>
      <c r="L3">
        <v>1.5411360000000001</v>
      </c>
      <c r="N3">
        <v>0.16863500000000001</v>
      </c>
      <c r="P3">
        <v>1.3612850000000001</v>
      </c>
      <c r="R3">
        <v>21551.999960000001</v>
      </c>
      <c r="S3">
        <v>21551.999960000001</v>
      </c>
      <c r="T3">
        <v>21551.999960000001</v>
      </c>
      <c r="U3">
        <v>20002</v>
      </c>
      <c r="V3">
        <v>1549.999961</v>
      </c>
      <c r="W3">
        <v>1549.999961</v>
      </c>
      <c r="X3">
        <v>0</v>
      </c>
      <c r="Y3">
        <v>0</v>
      </c>
    </row>
    <row r="4" spans="1:26" x14ac:dyDescent="0.3">
      <c r="A4" t="s">
        <v>22</v>
      </c>
      <c r="B4">
        <v>1560.000014</v>
      </c>
      <c r="C4">
        <v>9.4909999999999994E-3</v>
      </c>
      <c r="E4">
        <v>1</v>
      </c>
      <c r="F4">
        <v>1</v>
      </c>
      <c r="G4">
        <v>1</v>
      </c>
      <c r="H4">
        <v>1</v>
      </c>
      <c r="J4">
        <v>0</v>
      </c>
      <c r="L4">
        <v>1.8119109999999998</v>
      </c>
      <c r="N4">
        <v>0.30843300000000001</v>
      </c>
      <c r="P4">
        <v>1.493987</v>
      </c>
      <c r="R4">
        <v>21562.00001</v>
      </c>
      <c r="S4">
        <v>21562.00001</v>
      </c>
      <c r="T4">
        <v>21562.00001</v>
      </c>
      <c r="U4">
        <v>20002</v>
      </c>
      <c r="V4">
        <v>1560.000014</v>
      </c>
      <c r="W4">
        <v>1560.000014</v>
      </c>
      <c r="X4">
        <v>0</v>
      </c>
      <c r="Y4">
        <v>0</v>
      </c>
    </row>
    <row r="5" spans="1:26" x14ac:dyDescent="0.3">
      <c r="A5" t="s">
        <v>23</v>
      </c>
      <c r="B5">
        <v>1479.999898</v>
      </c>
      <c r="C5">
        <v>1.0383999999999999E-2</v>
      </c>
      <c r="E5">
        <v>1</v>
      </c>
      <c r="F5">
        <v>1</v>
      </c>
      <c r="G5">
        <v>1</v>
      </c>
      <c r="H5">
        <v>2</v>
      </c>
      <c r="J5">
        <v>0</v>
      </c>
      <c r="L5">
        <v>3.647106</v>
      </c>
      <c r="N5">
        <v>0.44852999999999998</v>
      </c>
      <c r="P5">
        <v>3.1881919999999999</v>
      </c>
      <c r="R5">
        <v>21481.999889999999</v>
      </c>
      <c r="S5">
        <v>21481.999899999999</v>
      </c>
      <c r="T5">
        <v>21481.999899999999</v>
      </c>
      <c r="U5">
        <v>20002</v>
      </c>
      <c r="V5">
        <v>1479.999898</v>
      </c>
      <c r="W5">
        <v>1479.9998880000001</v>
      </c>
      <c r="X5">
        <v>1</v>
      </c>
      <c r="Y5">
        <v>0</v>
      </c>
    </row>
    <row r="6" spans="1:26" x14ac:dyDescent="0.3">
      <c r="A6" t="s">
        <v>24</v>
      </c>
      <c r="B6">
        <v>1600.000033</v>
      </c>
      <c r="C6">
        <v>1.9231000000000002E-2</v>
      </c>
      <c r="E6">
        <v>1</v>
      </c>
      <c r="F6">
        <v>1</v>
      </c>
      <c r="G6">
        <v>1</v>
      </c>
      <c r="H6">
        <v>1</v>
      </c>
      <c r="J6">
        <v>0</v>
      </c>
      <c r="L6">
        <v>1.092649</v>
      </c>
      <c r="N6">
        <v>4.1307000000000003E-2</v>
      </c>
      <c r="P6">
        <v>1.032111</v>
      </c>
      <c r="R6">
        <v>21601.000029999999</v>
      </c>
      <c r="S6">
        <v>21601.000029999999</v>
      </c>
      <c r="T6">
        <v>21601.000029999999</v>
      </c>
      <c r="U6">
        <v>20001</v>
      </c>
      <c r="V6">
        <v>1600.000033</v>
      </c>
      <c r="W6">
        <v>1600.000033</v>
      </c>
      <c r="X6">
        <v>0</v>
      </c>
      <c r="Y6">
        <v>0</v>
      </c>
    </row>
    <row r="7" spans="1:26" x14ac:dyDescent="0.3">
      <c r="A7" t="s">
        <v>25</v>
      </c>
      <c r="B7">
        <v>1469.9999660000001</v>
      </c>
      <c r="C7">
        <v>1.1563E-2</v>
      </c>
      <c r="E7">
        <v>1</v>
      </c>
      <c r="F7">
        <v>1</v>
      </c>
      <c r="G7">
        <v>1</v>
      </c>
      <c r="H7">
        <v>2</v>
      </c>
      <c r="J7">
        <v>0</v>
      </c>
      <c r="L7">
        <v>2.8172010000000003</v>
      </c>
      <c r="N7">
        <v>0.620116</v>
      </c>
      <c r="P7">
        <v>2.1855220000000002</v>
      </c>
      <c r="R7">
        <v>21471.998390000001</v>
      </c>
      <c r="S7">
        <v>21471.999970000001</v>
      </c>
      <c r="T7">
        <v>21471.999970000001</v>
      </c>
      <c r="U7">
        <v>20002</v>
      </c>
      <c r="V7">
        <v>1469.9999660000001</v>
      </c>
      <c r="W7">
        <v>1469.998392</v>
      </c>
      <c r="X7">
        <v>1</v>
      </c>
      <c r="Y7">
        <v>0</v>
      </c>
    </row>
    <row r="8" spans="1:26" x14ac:dyDescent="0.3">
      <c r="A8" t="s">
        <v>26</v>
      </c>
      <c r="B8">
        <v>1520.000008</v>
      </c>
      <c r="C8">
        <v>9.3659999999999993E-3</v>
      </c>
      <c r="E8">
        <v>1</v>
      </c>
      <c r="F8">
        <v>1</v>
      </c>
      <c r="G8">
        <v>1</v>
      </c>
      <c r="H8">
        <v>1</v>
      </c>
      <c r="J8">
        <v>0</v>
      </c>
      <c r="L8">
        <v>0.80549800000000005</v>
      </c>
      <c r="N8">
        <v>0.27609</v>
      </c>
      <c r="P8">
        <v>0.520042</v>
      </c>
      <c r="R8">
        <v>21521.992040000001</v>
      </c>
      <c r="S8">
        <v>21521.99264</v>
      </c>
      <c r="T8">
        <v>21521.99264</v>
      </c>
      <c r="U8">
        <v>20001.992630000001</v>
      </c>
      <c r="V8">
        <v>1520.000008</v>
      </c>
      <c r="W8">
        <v>1519.9994119999999</v>
      </c>
      <c r="X8">
        <v>0</v>
      </c>
      <c r="Y8">
        <v>0</v>
      </c>
    </row>
    <row r="9" spans="1:26" x14ac:dyDescent="0.3">
      <c r="A9" t="s">
        <v>27</v>
      </c>
      <c r="B9">
        <v>1470.0000439999999</v>
      </c>
      <c r="C9">
        <v>1.1537E-2</v>
      </c>
      <c r="E9">
        <v>1</v>
      </c>
      <c r="F9">
        <v>1</v>
      </c>
      <c r="G9">
        <v>1</v>
      </c>
      <c r="H9">
        <v>1</v>
      </c>
      <c r="J9">
        <v>0</v>
      </c>
      <c r="L9">
        <v>1.707217</v>
      </c>
      <c r="N9">
        <v>0.24023800000000001</v>
      </c>
      <c r="P9">
        <v>1.4554419999999999</v>
      </c>
      <c r="R9">
        <v>21473.000029999999</v>
      </c>
      <c r="S9">
        <v>21473.000039999999</v>
      </c>
      <c r="T9">
        <v>21473.000039999999</v>
      </c>
      <c r="U9">
        <v>20003</v>
      </c>
      <c r="V9">
        <v>1470.0000439999999</v>
      </c>
      <c r="W9">
        <v>1470.0000279999999</v>
      </c>
      <c r="X9">
        <v>0</v>
      </c>
      <c r="Y9">
        <v>0</v>
      </c>
    </row>
    <row r="10" spans="1:26" x14ac:dyDescent="0.3">
      <c r="A10" t="s">
        <v>28</v>
      </c>
      <c r="B10">
        <v>1479.9999270000001</v>
      </c>
      <c r="C10">
        <v>1.0276E-2</v>
      </c>
      <c r="E10">
        <v>1</v>
      </c>
      <c r="F10">
        <v>1</v>
      </c>
      <c r="G10">
        <v>1</v>
      </c>
      <c r="H10">
        <v>3</v>
      </c>
      <c r="J10">
        <v>0</v>
      </c>
      <c r="L10">
        <v>3.8065109999999995</v>
      </c>
      <c r="N10">
        <v>0.811585</v>
      </c>
      <c r="P10">
        <v>2.9846499999999998</v>
      </c>
      <c r="R10">
        <v>21481.999899999999</v>
      </c>
      <c r="S10">
        <v>21481.999930000002</v>
      </c>
      <c r="T10">
        <v>21481.999930000002</v>
      </c>
      <c r="U10">
        <v>20002</v>
      </c>
      <c r="V10">
        <v>1479.9999270000001</v>
      </c>
      <c r="W10">
        <v>1479.999902</v>
      </c>
      <c r="X10">
        <v>2</v>
      </c>
      <c r="Y10">
        <v>0</v>
      </c>
    </row>
    <row r="11" spans="1:26" x14ac:dyDescent="0.3">
      <c r="A11" t="s">
        <v>29</v>
      </c>
      <c r="B11">
        <v>1479.9999270000001</v>
      </c>
      <c r="C11">
        <v>9.5650000000000006E-3</v>
      </c>
      <c r="E11">
        <v>1</v>
      </c>
      <c r="F11">
        <v>1</v>
      </c>
      <c r="G11">
        <v>1</v>
      </c>
      <c r="H11">
        <v>3</v>
      </c>
      <c r="J11">
        <v>0</v>
      </c>
      <c r="L11">
        <v>5.2435879999999999</v>
      </c>
      <c r="N11">
        <v>1.4952570000000001</v>
      </c>
      <c r="P11">
        <v>3.738766</v>
      </c>
      <c r="R11">
        <v>21482.999930000002</v>
      </c>
      <c r="S11">
        <v>21482.999930000002</v>
      </c>
      <c r="T11">
        <v>21482.999930000002</v>
      </c>
      <c r="U11">
        <v>20003</v>
      </c>
      <c r="V11">
        <v>1479.9999270000001</v>
      </c>
      <c r="W11">
        <v>1479.9999270000001</v>
      </c>
      <c r="X11">
        <v>2</v>
      </c>
      <c r="Y11">
        <v>0</v>
      </c>
    </row>
    <row r="12" spans="1:26" x14ac:dyDescent="0.3">
      <c r="A12" t="s">
        <v>30</v>
      </c>
      <c r="B12">
        <v>1549.999961</v>
      </c>
      <c r="C12">
        <v>1.171E-2</v>
      </c>
      <c r="E12">
        <v>1</v>
      </c>
      <c r="F12">
        <v>1</v>
      </c>
      <c r="G12">
        <v>1</v>
      </c>
      <c r="H12">
        <v>1</v>
      </c>
      <c r="J12">
        <v>0</v>
      </c>
      <c r="L12">
        <v>0.67574099999999993</v>
      </c>
      <c r="N12">
        <v>1.7430999999999999E-2</v>
      </c>
      <c r="P12">
        <v>0.64659999999999995</v>
      </c>
      <c r="R12">
        <v>21550.999960000001</v>
      </c>
      <c r="S12">
        <v>21550.999960000001</v>
      </c>
      <c r="T12">
        <v>21550.999960000001</v>
      </c>
      <c r="U12">
        <v>20001</v>
      </c>
      <c r="V12">
        <v>1549.999961</v>
      </c>
      <c r="W12">
        <v>1549.999961</v>
      </c>
      <c r="X12">
        <v>0</v>
      </c>
      <c r="Y12">
        <v>0</v>
      </c>
    </row>
    <row r="13" spans="1:26" x14ac:dyDescent="0.3">
      <c r="A13" t="s">
        <v>31</v>
      </c>
      <c r="B13">
        <v>1529.999922</v>
      </c>
      <c r="C13">
        <v>1.153E-2</v>
      </c>
      <c r="E13">
        <v>1</v>
      </c>
      <c r="F13">
        <v>1</v>
      </c>
      <c r="G13">
        <v>1</v>
      </c>
      <c r="H13">
        <v>1</v>
      </c>
      <c r="J13">
        <v>0</v>
      </c>
      <c r="L13">
        <v>0.74367800000000006</v>
      </c>
      <c r="N13">
        <v>0.32104199999999999</v>
      </c>
      <c r="P13">
        <v>0.41110600000000003</v>
      </c>
      <c r="R13">
        <v>21531.999919999998</v>
      </c>
      <c r="S13">
        <v>21531.999919999998</v>
      </c>
      <c r="T13">
        <v>21531.999919999998</v>
      </c>
      <c r="U13">
        <v>20002</v>
      </c>
      <c r="V13">
        <v>1529.999922</v>
      </c>
      <c r="W13">
        <v>1529.999922</v>
      </c>
      <c r="X13">
        <v>0</v>
      </c>
      <c r="Y13">
        <v>0</v>
      </c>
    </row>
    <row r="14" spans="1:26" x14ac:dyDescent="0.3">
      <c r="A14" t="s">
        <v>32</v>
      </c>
      <c r="B14">
        <v>1520.0000379999999</v>
      </c>
      <c r="C14">
        <v>1.014E-2</v>
      </c>
      <c r="E14">
        <v>1</v>
      </c>
      <c r="F14">
        <v>1</v>
      </c>
      <c r="G14">
        <v>1</v>
      </c>
      <c r="H14">
        <v>1</v>
      </c>
      <c r="J14">
        <v>0</v>
      </c>
      <c r="L14">
        <v>0.85707299999999997</v>
      </c>
      <c r="N14">
        <v>0.295043</v>
      </c>
      <c r="P14">
        <v>0.55188999999999999</v>
      </c>
      <c r="R14">
        <v>21521.99987</v>
      </c>
      <c r="S14">
        <v>21522.000039999999</v>
      </c>
      <c r="T14">
        <v>21522.000039999999</v>
      </c>
      <c r="U14">
        <v>20002</v>
      </c>
      <c r="V14">
        <v>1520.0000379999999</v>
      </c>
      <c r="W14">
        <v>1519.9998700000001</v>
      </c>
      <c r="X14">
        <v>0</v>
      </c>
      <c r="Y14">
        <v>0</v>
      </c>
    </row>
    <row r="15" spans="1:26" x14ac:dyDescent="0.3">
      <c r="A15" t="s">
        <v>33</v>
      </c>
      <c r="B15">
        <v>1630.0000190000001</v>
      </c>
      <c r="C15">
        <v>1.1865000000000001E-2</v>
      </c>
      <c r="E15">
        <v>1</v>
      </c>
      <c r="F15">
        <v>1</v>
      </c>
      <c r="G15">
        <v>1</v>
      </c>
      <c r="H15">
        <v>1</v>
      </c>
      <c r="J15">
        <v>0</v>
      </c>
      <c r="L15">
        <v>1.2315420000000001</v>
      </c>
      <c r="N15">
        <v>0.74312900000000004</v>
      </c>
      <c r="P15">
        <v>0.47654800000000003</v>
      </c>
      <c r="R15">
        <v>21633.000019999999</v>
      </c>
      <c r="S15">
        <v>21633.000019999999</v>
      </c>
      <c r="T15">
        <v>21633.000019999999</v>
      </c>
      <c r="U15">
        <v>20003</v>
      </c>
      <c r="V15">
        <v>1630.0000190000001</v>
      </c>
      <c r="W15">
        <v>1630.0000190000001</v>
      </c>
      <c r="X15">
        <v>0</v>
      </c>
      <c r="Y15">
        <v>0</v>
      </c>
    </row>
    <row r="16" spans="1:26" x14ac:dyDescent="0.3">
      <c r="A16" t="s">
        <v>34</v>
      </c>
      <c r="B16">
        <v>1630.0000190000001</v>
      </c>
      <c r="C16">
        <v>1.7467E-2</v>
      </c>
      <c r="E16">
        <v>1</v>
      </c>
      <c r="F16">
        <v>1</v>
      </c>
      <c r="G16">
        <v>1</v>
      </c>
      <c r="H16">
        <v>1</v>
      </c>
      <c r="J16">
        <v>0</v>
      </c>
      <c r="L16">
        <v>1.3357619999999999</v>
      </c>
      <c r="N16">
        <v>0.43000300000000002</v>
      </c>
      <c r="P16">
        <v>0.88829199999999997</v>
      </c>
      <c r="R16">
        <v>21633.000019999999</v>
      </c>
      <c r="S16">
        <v>21633.000019999999</v>
      </c>
      <c r="T16">
        <v>21633.000019999999</v>
      </c>
      <c r="U16">
        <v>20003</v>
      </c>
      <c r="V16">
        <v>1630.0000190000001</v>
      </c>
      <c r="W16">
        <v>1630.0000190000001</v>
      </c>
      <c r="X16">
        <v>0</v>
      </c>
      <c r="Y16">
        <v>0</v>
      </c>
    </row>
    <row r="17" spans="1:25" x14ac:dyDescent="0.3">
      <c r="A17" t="s">
        <v>35</v>
      </c>
      <c r="B17">
        <v>1569.999965</v>
      </c>
      <c r="C17">
        <v>9.7809999999999998E-3</v>
      </c>
      <c r="E17">
        <v>1</v>
      </c>
      <c r="F17">
        <v>1</v>
      </c>
      <c r="G17">
        <v>1</v>
      </c>
      <c r="H17">
        <v>1</v>
      </c>
      <c r="J17">
        <v>0</v>
      </c>
      <c r="L17">
        <v>2.154147</v>
      </c>
      <c r="N17">
        <v>0.59770400000000001</v>
      </c>
      <c r="P17">
        <v>1.546662</v>
      </c>
      <c r="R17">
        <v>31570.999940000002</v>
      </c>
      <c r="S17">
        <v>31570.999970000001</v>
      </c>
      <c r="T17">
        <v>31570.999970000001</v>
      </c>
      <c r="U17">
        <v>30001</v>
      </c>
      <c r="V17">
        <v>1569.999965</v>
      </c>
      <c r="W17">
        <v>1569.999941</v>
      </c>
      <c r="X17">
        <v>0</v>
      </c>
      <c r="Y17">
        <v>0</v>
      </c>
    </row>
    <row r="18" spans="1:25" x14ac:dyDescent="0.3">
      <c r="A18" t="s">
        <v>36</v>
      </c>
      <c r="B18">
        <v>1639.9999949999999</v>
      </c>
      <c r="C18">
        <v>1.0160000000000001E-2</v>
      </c>
      <c r="E18">
        <v>1</v>
      </c>
      <c r="F18">
        <v>1</v>
      </c>
      <c r="G18">
        <v>1</v>
      </c>
      <c r="H18">
        <v>1</v>
      </c>
      <c r="J18">
        <v>0</v>
      </c>
      <c r="L18">
        <v>1.0314260000000002</v>
      </c>
      <c r="N18">
        <v>0.48610700000000001</v>
      </c>
      <c r="P18">
        <v>0.53515900000000005</v>
      </c>
      <c r="R18">
        <v>31642</v>
      </c>
      <c r="S18">
        <v>31642</v>
      </c>
      <c r="T18">
        <v>31642</v>
      </c>
      <c r="U18">
        <v>30002</v>
      </c>
      <c r="V18">
        <v>1639.9999949999999</v>
      </c>
      <c r="W18">
        <v>1639.9999949999999</v>
      </c>
      <c r="X18">
        <v>0</v>
      </c>
      <c r="Y18">
        <v>0</v>
      </c>
    </row>
    <row r="19" spans="1:25" x14ac:dyDescent="0.3">
      <c r="A19" t="s">
        <v>37</v>
      </c>
      <c r="B19">
        <v>1490.000063</v>
      </c>
      <c r="C19">
        <v>9.587E-3</v>
      </c>
      <c r="E19">
        <v>1</v>
      </c>
      <c r="F19">
        <v>1</v>
      </c>
      <c r="G19">
        <v>1</v>
      </c>
      <c r="H19">
        <v>1</v>
      </c>
      <c r="J19">
        <v>0</v>
      </c>
      <c r="L19">
        <v>1.876171</v>
      </c>
      <c r="N19">
        <v>0.33794600000000002</v>
      </c>
      <c r="P19">
        <v>1.5286379999999999</v>
      </c>
      <c r="R19">
        <v>31491.000049999999</v>
      </c>
      <c r="S19">
        <v>31491.000059999998</v>
      </c>
      <c r="T19">
        <v>31491.000059999998</v>
      </c>
      <c r="U19">
        <v>30001</v>
      </c>
      <c r="V19">
        <v>1490.000063</v>
      </c>
      <c r="W19">
        <v>1490.000047</v>
      </c>
      <c r="X19">
        <v>0</v>
      </c>
      <c r="Y19">
        <v>0</v>
      </c>
    </row>
    <row r="20" spans="1:25" x14ac:dyDescent="0.3">
      <c r="A20" t="s">
        <v>38</v>
      </c>
      <c r="B20">
        <v>1609.999961</v>
      </c>
      <c r="C20">
        <v>1.1268E-2</v>
      </c>
      <c r="E20">
        <v>1</v>
      </c>
      <c r="F20">
        <v>1</v>
      </c>
      <c r="G20">
        <v>1</v>
      </c>
      <c r="H20">
        <v>2</v>
      </c>
      <c r="J20">
        <v>0</v>
      </c>
      <c r="L20">
        <v>4.2448839999999999</v>
      </c>
      <c r="N20">
        <v>0.49397799999999997</v>
      </c>
      <c r="P20">
        <v>3.7396379999999998</v>
      </c>
      <c r="R20">
        <v>21611.99984</v>
      </c>
      <c r="S20">
        <v>21611.999960000001</v>
      </c>
      <c r="T20">
        <v>21611.999960000001</v>
      </c>
      <c r="U20">
        <v>20002</v>
      </c>
      <c r="V20">
        <v>1609.999961</v>
      </c>
      <c r="W20">
        <v>1609.9998410000001</v>
      </c>
      <c r="X20">
        <v>1</v>
      </c>
      <c r="Y20">
        <v>0</v>
      </c>
    </row>
    <row r="21" spans="1:25" x14ac:dyDescent="0.3">
      <c r="A21" t="s">
        <v>39</v>
      </c>
      <c r="B21">
        <v>1490.000063</v>
      </c>
      <c r="C21">
        <v>9.3539999999999995E-3</v>
      </c>
      <c r="E21">
        <v>1</v>
      </c>
      <c r="F21">
        <v>1</v>
      </c>
      <c r="G21">
        <v>1</v>
      </c>
      <c r="H21">
        <v>5</v>
      </c>
      <c r="J21">
        <v>0</v>
      </c>
      <c r="L21">
        <v>8.1176110000000001</v>
      </c>
      <c r="N21">
        <v>1.5819129999999999</v>
      </c>
      <c r="P21">
        <v>6.5263439999999999</v>
      </c>
      <c r="R21">
        <v>21493.000059999998</v>
      </c>
      <c r="S21">
        <v>21493.000059999998</v>
      </c>
      <c r="T21">
        <v>21493.000059999998</v>
      </c>
      <c r="U21">
        <v>20003</v>
      </c>
      <c r="V21">
        <v>1490.000063</v>
      </c>
      <c r="W21">
        <v>1490.000063</v>
      </c>
      <c r="X21">
        <v>3</v>
      </c>
      <c r="Y21">
        <v>1</v>
      </c>
    </row>
    <row r="22" spans="1:25" x14ac:dyDescent="0.3">
      <c r="A22" t="s">
        <v>40</v>
      </c>
      <c r="B22">
        <v>1479.999951</v>
      </c>
      <c r="C22">
        <v>1.2064E-2</v>
      </c>
      <c r="E22">
        <v>1</v>
      </c>
      <c r="F22">
        <v>1</v>
      </c>
      <c r="G22">
        <v>1</v>
      </c>
      <c r="H22">
        <v>1</v>
      </c>
      <c r="J22">
        <v>0</v>
      </c>
      <c r="L22">
        <v>0.89081800000000011</v>
      </c>
      <c r="N22">
        <v>0.37920700000000002</v>
      </c>
      <c r="P22">
        <v>0.49954700000000002</v>
      </c>
      <c r="R22">
        <v>31480.999070000002</v>
      </c>
      <c r="S22">
        <v>31480.999950000001</v>
      </c>
      <c r="T22">
        <v>31480.999950000001</v>
      </c>
      <c r="U22">
        <v>30001</v>
      </c>
      <c r="V22">
        <v>1479.999951</v>
      </c>
      <c r="W22">
        <v>1479.9990680000001</v>
      </c>
      <c r="X22">
        <v>0</v>
      </c>
      <c r="Y22">
        <v>0</v>
      </c>
    </row>
    <row r="23" spans="1:25" x14ac:dyDescent="0.3">
      <c r="A23" t="s">
        <v>41</v>
      </c>
      <c r="B23">
        <v>1490.000063</v>
      </c>
      <c r="C23">
        <v>9.5250000000000005E-3</v>
      </c>
      <c r="E23">
        <v>1</v>
      </c>
      <c r="F23">
        <v>1</v>
      </c>
      <c r="G23">
        <v>1</v>
      </c>
      <c r="H23">
        <v>1</v>
      </c>
      <c r="J23">
        <v>0</v>
      </c>
      <c r="L23">
        <v>0.91656099999999996</v>
      </c>
      <c r="N23">
        <v>9.7695000000000004E-2</v>
      </c>
      <c r="P23">
        <v>0.80934099999999998</v>
      </c>
      <c r="R23">
        <v>21491.000059999998</v>
      </c>
      <c r="S23">
        <v>21491.000059999998</v>
      </c>
      <c r="T23">
        <v>21491.000059999998</v>
      </c>
      <c r="U23">
        <v>20001</v>
      </c>
      <c r="V23">
        <v>1490.000063</v>
      </c>
      <c r="W23">
        <v>1490.000063</v>
      </c>
      <c r="X23">
        <v>0</v>
      </c>
      <c r="Y23">
        <v>0</v>
      </c>
    </row>
    <row r="24" spans="1:25" x14ac:dyDescent="0.3">
      <c r="A24" t="s">
        <v>42</v>
      </c>
      <c r="B24">
        <v>1630.0000190000001</v>
      </c>
      <c r="C24">
        <v>1.2277E-2</v>
      </c>
      <c r="E24">
        <v>1</v>
      </c>
      <c r="F24">
        <v>1</v>
      </c>
      <c r="G24">
        <v>1</v>
      </c>
      <c r="H24">
        <v>2</v>
      </c>
      <c r="J24">
        <v>0</v>
      </c>
      <c r="L24">
        <v>2.5690819999999999</v>
      </c>
      <c r="N24">
        <v>0.66390899999999997</v>
      </c>
      <c r="P24">
        <v>1.8928959999999999</v>
      </c>
      <c r="R24">
        <v>21631.000019999999</v>
      </c>
      <c r="S24">
        <v>21631.000019999999</v>
      </c>
      <c r="T24">
        <v>21631.000019999999</v>
      </c>
      <c r="U24">
        <v>20001</v>
      </c>
      <c r="V24">
        <v>1630.0000190000001</v>
      </c>
      <c r="W24">
        <v>1630.0000190000001</v>
      </c>
      <c r="X24">
        <v>1</v>
      </c>
      <c r="Y24">
        <v>0</v>
      </c>
    </row>
    <row r="25" spans="1:25" x14ac:dyDescent="0.3">
      <c r="A25" t="s">
        <v>43</v>
      </c>
      <c r="B25">
        <v>1469.9999150000001</v>
      </c>
      <c r="C25">
        <v>9.0299999999999998E-3</v>
      </c>
      <c r="E25">
        <v>1</v>
      </c>
      <c r="F25">
        <v>1</v>
      </c>
      <c r="G25">
        <v>1</v>
      </c>
      <c r="H25">
        <v>1</v>
      </c>
      <c r="J25">
        <v>0</v>
      </c>
      <c r="L25">
        <v>0.87352300000000005</v>
      </c>
      <c r="N25">
        <v>0.170734</v>
      </c>
      <c r="P25">
        <v>0.69375900000000001</v>
      </c>
      <c r="R25">
        <v>21470.999919999998</v>
      </c>
      <c r="S25">
        <v>21470.999919999998</v>
      </c>
      <c r="T25">
        <v>21470.999919999998</v>
      </c>
      <c r="U25">
        <v>20001</v>
      </c>
      <c r="V25">
        <v>1469.9999150000001</v>
      </c>
      <c r="W25">
        <v>1469.9999150000001</v>
      </c>
      <c r="X25">
        <v>0</v>
      </c>
      <c r="Y25">
        <v>0</v>
      </c>
    </row>
    <row r="26" spans="1:25" x14ac:dyDescent="0.3">
      <c r="A26" t="s">
        <v>44</v>
      </c>
      <c r="B26">
        <v>1479.999951</v>
      </c>
      <c r="C26">
        <v>1.0984000000000001E-2</v>
      </c>
      <c r="E26">
        <v>1</v>
      </c>
      <c r="F26">
        <v>1</v>
      </c>
      <c r="G26">
        <v>1</v>
      </c>
      <c r="H26">
        <v>1</v>
      </c>
      <c r="J26">
        <v>0</v>
      </c>
      <c r="L26">
        <v>1.1614070000000001</v>
      </c>
      <c r="N26">
        <v>0.249388</v>
      </c>
      <c r="P26">
        <v>0.90103500000000003</v>
      </c>
      <c r="R26">
        <v>21481.999950000001</v>
      </c>
      <c r="S26">
        <v>21481.999950000001</v>
      </c>
      <c r="T26">
        <v>21481.999950000001</v>
      </c>
      <c r="U26">
        <v>20002</v>
      </c>
      <c r="V26">
        <v>1479.999951</v>
      </c>
      <c r="W26">
        <v>1479.999951</v>
      </c>
      <c r="X26">
        <v>0</v>
      </c>
      <c r="Y26">
        <v>0</v>
      </c>
    </row>
    <row r="27" spans="1:25" x14ac:dyDescent="0.3">
      <c r="A27" t="s">
        <v>45</v>
      </c>
      <c r="B27">
        <v>1489.9998949999999</v>
      </c>
      <c r="C27">
        <v>9.7280000000000005E-3</v>
      </c>
      <c r="E27">
        <v>1</v>
      </c>
      <c r="F27">
        <v>1</v>
      </c>
      <c r="G27">
        <v>1</v>
      </c>
      <c r="H27">
        <v>3</v>
      </c>
      <c r="J27">
        <v>0</v>
      </c>
      <c r="L27">
        <v>4.1361140000000001</v>
      </c>
      <c r="N27">
        <v>0.86481200000000003</v>
      </c>
      <c r="P27">
        <v>3.261574</v>
      </c>
      <c r="R27">
        <v>21491.999899999999</v>
      </c>
      <c r="S27">
        <v>21491.999899999999</v>
      </c>
      <c r="T27">
        <v>21491.999899999999</v>
      </c>
      <c r="U27">
        <v>20002</v>
      </c>
      <c r="V27">
        <v>1489.9998949999999</v>
      </c>
      <c r="W27">
        <v>1489.9998949999999</v>
      </c>
      <c r="X27">
        <v>2</v>
      </c>
      <c r="Y27">
        <v>0</v>
      </c>
    </row>
    <row r="28" spans="1:25" x14ac:dyDescent="0.3">
      <c r="A28" t="s">
        <v>46</v>
      </c>
      <c r="B28">
        <v>1609.999961</v>
      </c>
      <c r="C28">
        <v>1.1035E-2</v>
      </c>
      <c r="E28">
        <v>1</v>
      </c>
      <c r="F28">
        <v>1</v>
      </c>
      <c r="G28">
        <v>1</v>
      </c>
      <c r="H28">
        <v>4</v>
      </c>
      <c r="J28">
        <v>0</v>
      </c>
      <c r="L28">
        <v>7.548864</v>
      </c>
      <c r="N28">
        <v>0.839472</v>
      </c>
      <c r="P28">
        <v>6.6983569999999997</v>
      </c>
      <c r="R28">
        <v>21611.999960000001</v>
      </c>
      <c r="S28">
        <v>21611.999960000001</v>
      </c>
      <c r="T28">
        <v>21611.999960000001</v>
      </c>
      <c r="U28">
        <v>20002</v>
      </c>
      <c r="V28">
        <v>1609.999961</v>
      </c>
      <c r="W28">
        <v>1609.999961</v>
      </c>
      <c r="X28">
        <v>1</v>
      </c>
      <c r="Y28">
        <v>2</v>
      </c>
    </row>
    <row r="29" spans="1:25" x14ac:dyDescent="0.3">
      <c r="A29" t="s">
        <v>47</v>
      </c>
      <c r="B29">
        <v>1600.0001010000001</v>
      </c>
      <c r="C29">
        <v>9.4090000000000007E-3</v>
      </c>
      <c r="E29">
        <v>1</v>
      </c>
      <c r="F29">
        <v>1</v>
      </c>
      <c r="G29">
        <v>1</v>
      </c>
      <c r="H29">
        <v>3</v>
      </c>
      <c r="J29">
        <v>0</v>
      </c>
      <c r="L29">
        <v>3.178096</v>
      </c>
      <c r="N29">
        <v>5.9521999999999999E-2</v>
      </c>
      <c r="P29">
        <v>3.109165</v>
      </c>
      <c r="R29">
        <v>21601.000100000001</v>
      </c>
      <c r="S29">
        <v>21601.000100000001</v>
      </c>
      <c r="T29">
        <v>21601.000100000001</v>
      </c>
      <c r="U29">
        <v>20001</v>
      </c>
      <c r="V29">
        <v>1600.0001010000001</v>
      </c>
      <c r="W29">
        <v>1600.0001010000001</v>
      </c>
      <c r="X29">
        <v>1</v>
      </c>
      <c r="Y29">
        <v>1</v>
      </c>
    </row>
    <row r="30" spans="1:25" x14ac:dyDescent="0.3">
      <c r="A30" t="s">
        <v>48</v>
      </c>
      <c r="B30">
        <v>1490.00001</v>
      </c>
      <c r="C30">
        <v>1.0213E-2</v>
      </c>
      <c r="E30">
        <v>1</v>
      </c>
      <c r="F30">
        <v>1</v>
      </c>
      <c r="G30">
        <v>1</v>
      </c>
      <c r="H30">
        <v>2</v>
      </c>
      <c r="J30">
        <v>0</v>
      </c>
      <c r="L30">
        <v>4.229114</v>
      </c>
      <c r="N30">
        <v>0.70074999999999998</v>
      </c>
      <c r="P30">
        <v>3.518151</v>
      </c>
      <c r="R30">
        <v>21492.00001</v>
      </c>
      <c r="S30">
        <v>21492.00001</v>
      </c>
      <c r="T30">
        <v>21492.00001</v>
      </c>
      <c r="U30">
        <v>20002</v>
      </c>
      <c r="V30">
        <v>1490.00001</v>
      </c>
      <c r="W30">
        <v>1490.00001</v>
      </c>
      <c r="X30">
        <v>1</v>
      </c>
      <c r="Y30">
        <v>0</v>
      </c>
    </row>
    <row r="31" spans="1:25" s="1" customFormat="1" x14ac:dyDescent="0.3">
      <c r="A31" s="1" t="s">
        <v>49</v>
      </c>
      <c r="B31" s="1">
        <v>1600.0001010000001</v>
      </c>
      <c r="C31" s="1">
        <v>1.0000999999999999E-2</v>
      </c>
      <c r="E31" s="1">
        <v>1</v>
      </c>
      <c r="F31" s="1">
        <v>1</v>
      </c>
      <c r="G31" s="1">
        <v>1</v>
      </c>
      <c r="H31" s="1">
        <v>3</v>
      </c>
      <c r="J31" s="1">
        <v>0</v>
      </c>
      <c r="L31" s="1">
        <v>7.2603169999999997</v>
      </c>
      <c r="N31" s="1">
        <v>1.7378370000000001</v>
      </c>
      <c r="P31" s="1">
        <v>5.5124789999999999</v>
      </c>
      <c r="R31" s="1">
        <v>21603.000100000001</v>
      </c>
      <c r="S31" s="1">
        <v>21603.000100000001</v>
      </c>
      <c r="T31" s="1">
        <v>21603.000100000001</v>
      </c>
      <c r="U31" s="1">
        <v>20003</v>
      </c>
      <c r="V31" s="1">
        <v>1600.0001010000001</v>
      </c>
      <c r="W31" s="1">
        <v>1600.0001010000001</v>
      </c>
      <c r="X31" s="1">
        <v>1</v>
      </c>
      <c r="Y31" s="1">
        <v>1</v>
      </c>
    </row>
    <row r="32" spans="1:25" x14ac:dyDescent="0.3">
      <c r="A32" t="s">
        <v>50</v>
      </c>
      <c r="B32">
        <v>3260.0000380000001</v>
      </c>
      <c r="C32">
        <v>1.9708E-2</v>
      </c>
      <c r="D32">
        <f>SUM(E32:E60)</f>
        <v>29</v>
      </c>
      <c r="E32">
        <v>1</v>
      </c>
      <c r="F32">
        <v>1</v>
      </c>
      <c r="G32">
        <v>1</v>
      </c>
      <c r="H32">
        <v>1</v>
      </c>
      <c r="I32">
        <v>6.8965517241379306</v>
      </c>
      <c r="J32">
        <v>0</v>
      </c>
      <c r="K32">
        <v>3.7599999999999998E-4</v>
      </c>
      <c r="L32">
        <v>8.0041419999999999</v>
      </c>
      <c r="M32">
        <v>221.09815413793095</v>
      </c>
      <c r="N32">
        <v>0.83913499999999996</v>
      </c>
      <c r="O32">
        <v>29.097712379310348</v>
      </c>
      <c r="P32">
        <v>7.1452989999999996</v>
      </c>
      <c r="Q32">
        <v>191.97984672413799</v>
      </c>
      <c r="R32">
        <v>33263.000319999999</v>
      </c>
      <c r="S32">
        <v>33263.000039999999</v>
      </c>
      <c r="T32">
        <v>33263.000039999999</v>
      </c>
      <c r="U32">
        <v>30003</v>
      </c>
      <c r="V32">
        <v>3260.0000380000001</v>
      </c>
      <c r="W32">
        <v>3260.0003240000001</v>
      </c>
      <c r="X32">
        <v>0</v>
      </c>
      <c r="Y32">
        <v>0</v>
      </c>
    </row>
    <row r="33" spans="1:25" x14ac:dyDescent="0.3">
      <c r="A33" t="s">
        <v>51</v>
      </c>
      <c r="B33">
        <v>3000.0001609999999</v>
      </c>
      <c r="C33">
        <v>2.6948E-2</v>
      </c>
      <c r="E33">
        <v>1</v>
      </c>
      <c r="F33">
        <v>1</v>
      </c>
      <c r="G33">
        <v>1</v>
      </c>
      <c r="H33">
        <v>1</v>
      </c>
      <c r="J33">
        <v>0</v>
      </c>
      <c r="L33">
        <v>19.193133</v>
      </c>
      <c r="N33">
        <v>3.6540910000000002</v>
      </c>
      <c r="P33">
        <v>15.512093999999999</v>
      </c>
      <c r="R33">
        <v>53001.000160000003</v>
      </c>
      <c r="S33">
        <v>53001.000160000003</v>
      </c>
      <c r="T33">
        <v>53001.000160000003</v>
      </c>
      <c r="U33">
        <v>50001</v>
      </c>
      <c r="V33">
        <v>3000.0001609999999</v>
      </c>
      <c r="W33">
        <v>3000.0001609999999</v>
      </c>
      <c r="X33">
        <v>0</v>
      </c>
      <c r="Y33">
        <v>0</v>
      </c>
    </row>
    <row r="34" spans="1:25" x14ac:dyDescent="0.3">
      <c r="A34" t="s">
        <v>52</v>
      </c>
      <c r="B34">
        <v>2999.9998270000001</v>
      </c>
      <c r="C34">
        <v>1.7853000000000001E-2</v>
      </c>
      <c r="E34">
        <v>1</v>
      </c>
      <c r="F34">
        <v>1</v>
      </c>
      <c r="G34">
        <v>1</v>
      </c>
      <c r="H34">
        <v>1</v>
      </c>
      <c r="J34">
        <v>0</v>
      </c>
      <c r="L34">
        <v>25.306583999999997</v>
      </c>
      <c r="N34">
        <v>3.0246040000000001</v>
      </c>
      <c r="P34">
        <v>22.264126999999998</v>
      </c>
      <c r="R34">
        <v>43000.999810000001</v>
      </c>
      <c r="S34">
        <v>43000.999830000001</v>
      </c>
      <c r="T34">
        <v>43000.999830000001</v>
      </c>
      <c r="U34">
        <v>40001</v>
      </c>
      <c r="V34">
        <v>2999.9998270000001</v>
      </c>
      <c r="W34">
        <v>2999.9998139999998</v>
      </c>
      <c r="X34">
        <v>0</v>
      </c>
      <c r="Y34">
        <v>0</v>
      </c>
    </row>
    <row r="35" spans="1:25" x14ac:dyDescent="0.3">
      <c r="A35" t="s">
        <v>53</v>
      </c>
      <c r="B35">
        <v>3019.9999630000002</v>
      </c>
      <c r="C35">
        <v>2.2511E-2</v>
      </c>
      <c r="E35">
        <v>1</v>
      </c>
      <c r="F35">
        <v>1</v>
      </c>
      <c r="G35">
        <v>1</v>
      </c>
      <c r="H35">
        <v>1</v>
      </c>
      <c r="J35">
        <v>0</v>
      </c>
      <c r="L35">
        <v>27.960422000000001</v>
      </c>
      <c r="N35">
        <v>4.0711050000000002</v>
      </c>
      <c r="P35">
        <v>23.866806</v>
      </c>
      <c r="R35">
        <v>43021.999960000001</v>
      </c>
      <c r="S35">
        <v>43021.999960000001</v>
      </c>
      <c r="T35">
        <v>43021.999960000001</v>
      </c>
      <c r="U35">
        <v>40002</v>
      </c>
      <c r="V35">
        <v>3019.9999630000002</v>
      </c>
      <c r="W35">
        <v>3019.9999630000002</v>
      </c>
      <c r="X35">
        <v>0</v>
      </c>
      <c r="Y35">
        <v>0</v>
      </c>
    </row>
    <row r="36" spans="1:25" x14ac:dyDescent="0.3">
      <c r="A36" t="s">
        <v>54</v>
      </c>
      <c r="B36">
        <v>3039.999855</v>
      </c>
      <c r="C36">
        <v>1.9026000000000001E-2</v>
      </c>
      <c r="E36">
        <v>1</v>
      </c>
      <c r="F36">
        <v>1</v>
      </c>
      <c r="G36">
        <v>1</v>
      </c>
      <c r="H36">
        <v>1</v>
      </c>
      <c r="J36">
        <v>0</v>
      </c>
      <c r="L36">
        <v>30.659913</v>
      </c>
      <c r="N36">
        <v>3.1887059999999998</v>
      </c>
      <c r="P36">
        <v>27.452181</v>
      </c>
      <c r="R36">
        <v>43041.999860000004</v>
      </c>
      <c r="S36">
        <v>43041.999860000004</v>
      </c>
      <c r="T36">
        <v>43041.999860000004</v>
      </c>
      <c r="U36">
        <v>40002</v>
      </c>
      <c r="V36">
        <v>3039.999855</v>
      </c>
      <c r="W36">
        <v>3039.999855</v>
      </c>
      <c r="X36">
        <v>0</v>
      </c>
      <c r="Y36">
        <v>0</v>
      </c>
    </row>
    <row r="37" spans="1:25" x14ac:dyDescent="0.3">
      <c r="A37" t="s">
        <v>55</v>
      </c>
      <c r="B37">
        <v>3019.999945</v>
      </c>
      <c r="C37">
        <v>1.8388999999999999E-2</v>
      </c>
      <c r="E37">
        <v>1</v>
      </c>
      <c r="F37">
        <v>1</v>
      </c>
      <c r="G37">
        <v>1</v>
      </c>
      <c r="H37">
        <v>4</v>
      </c>
      <c r="J37">
        <v>0</v>
      </c>
      <c r="L37">
        <v>70.216896000000006</v>
      </c>
      <c r="N37">
        <v>9.8704619999999998</v>
      </c>
      <c r="P37">
        <v>60.328045000000003</v>
      </c>
      <c r="R37">
        <v>43022.999949999998</v>
      </c>
      <c r="S37">
        <v>43022.999949999998</v>
      </c>
      <c r="T37">
        <v>43022.999949999998</v>
      </c>
      <c r="U37">
        <v>40003</v>
      </c>
      <c r="V37">
        <v>3019.999945</v>
      </c>
      <c r="W37">
        <v>3019.999945</v>
      </c>
      <c r="X37">
        <v>2</v>
      </c>
      <c r="Y37">
        <v>1</v>
      </c>
    </row>
    <row r="38" spans="1:25" x14ac:dyDescent="0.3">
      <c r="A38" t="s">
        <v>56</v>
      </c>
      <c r="B38">
        <v>3239.9997950000002</v>
      </c>
      <c r="C38">
        <v>2.0452000000000001E-2</v>
      </c>
      <c r="E38">
        <v>1</v>
      </c>
      <c r="F38">
        <v>1</v>
      </c>
      <c r="G38">
        <v>1</v>
      </c>
      <c r="H38">
        <v>4</v>
      </c>
      <c r="J38">
        <v>0</v>
      </c>
      <c r="L38">
        <v>104.32012</v>
      </c>
      <c r="N38">
        <v>11.184794</v>
      </c>
      <c r="P38">
        <v>93.114874</v>
      </c>
      <c r="R38">
        <v>43240.999799999998</v>
      </c>
      <c r="S38">
        <v>43240.999799999998</v>
      </c>
      <c r="T38">
        <v>43240.999799999998</v>
      </c>
      <c r="U38">
        <v>40001</v>
      </c>
      <c r="V38">
        <v>3239.9997950000002</v>
      </c>
      <c r="W38">
        <v>3239.9997950000002</v>
      </c>
      <c r="X38">
        <v>1</v>
      </c>
      <c r="Y38">
        <v>2</v>
      </c>
    </row>
    <row r="39" spans="1:25" x14ac:dyDescent="0.3">
      <c r="A39" t="s">
        <v>57</v>
      </c>
      <c r="B39">
        <v>3039.9998719999999</v>
      </c>
      <c r="C39">
        <v>1.7663999999999999E-2</v>
      </c>
      <c r="E39">
        <v>1</v>
      </c>
      <c r="F39">
        <v>1</v>
      </c>
      <c r="G39">
        <v>1</v>
      </c>
      <c r="H39">
        <v>5</v>
      </c>
      <c r="J39">
        <v>0</v>
      </c>
      <c r="L39">
        <v>134.44960699999999</v>
      </c>
      <c r="N39">
        <v>22.864353000000001</v>
      </c>
      <c r="P39">
        <v>111.56759</v>
      </c>
      <c r="R39">
        <v>43041.99987</v>
      </c>
      <c r="S39">
        <v>43041.99987</v>
      </c>
      <c r="T39">
        <v>43041.99987</v>
      </c>
      <c r="U39">
        <v>40002</v>
      </c>
      <c r="V39">
        <v>3039.9998719999999</v>
      </c>
      <c r="W39">
        <v>3039.9998719999999</v>
      </c>
      <c r="X39">
        <v>2</v>
      </c>
      <c r="Y39">
        <v>2</v>
      </c>
    </row>
    <row r="40" spans="1:25" x14ac:dyDescent="0.3">
      <c r="A40" t="s">
        <v>58</v>
      </c>
      <c r="B40">
        <v>2999.9998270000001</v>
      </c>
      <c r="C40">
        <v>1.7971999999999998E-2</v>
      </c>
      <c r="E40">
        <v>1</v>
      </c>
      <c r="F40">
        <v>1</v>
      </c>
      <c r="G40">
        <v>1</v>
      </c>
      <c r="H40">
        <v>1</v>
      </c>
      <c r="J40">
        <v>0</v>
      </c>
      <c r="L40">
        <v>20.179539999999999</v>
      </c>
      <c r="N40">
        <v>2.424274</v>
      </c>
      <c r="P40">
        <v>17.737293999999999</v>
      </c>
      <c r="R40">
        <v>43001.999830000001</v>
      </c>
      <c r="S40">
        <v>43001.999830000001</v>
      </c>
      <c r="T40">
        <v>43001.999830000001</v>
      </c>
      <c r="U40">
        <v>40002</v>
      </c>
      <c r="V40">
        <v>2999.9998270000001</v>
      </c>
      <c r="W40">
        <v>2999.9998270000001</v>
      </c>
      <c r="X40">
        <v>0</v>
      </c>
      <c r="Y40">
        <v>0</v>
      </c>
    </row>
    <row r="41" spans="1:25" x14ac:dyDescent="0.3">
      <c r="A41" t="s">
        <v>59</v>
      </c>
      <c r="B41">
        <v>3100.0003190000002</v>
      </c>
      <c r="C41">
        <v>1.6031E-2</v>
      </c>
      <c r="E41">
        <v>1</v>
      </c>
      <c r="F41">
        <v>1</v>
      </c>
      <c r="G41">
        <v>1</v>
      </c>
      <c r="H41">
        <v>1</v>
      </c>
      <c r="J41">
        <v>0</v>
      </c>
      <c r="L41">
        <v>42.122591</v>
      </c>
      <c r="N41">
        <v>2.9865970000000002</v>
      </c>
      <c r="P41">
        <v>39.119962999999998</v>
      </c>
      <c r="R41">
        <v>43102.000079999998</v>
      </c>
      <c r="S41">
        <v>43102.000319999999</v>
      </c>
      <c r="T41">
        <v>43102.000319999999</v>
      </c>
      <c r="U41">
        <v>40002</v>
      </c>
      <c r="V41">
        <v>3100.0003190000002</v>
      </c>
      <c r="W41">
        <v>3100.0000799999998</v>
      </c>
      <c r="X41">
        <v>0</v>
      </c>
      <c r="Y41">
        <v>0</v>
      </c>
    </row>
    <row r="42" spans="1:25" x14ac:dyDescent="0.3">
      <c r="A42" t="s">
        <v>60</v>
      </c>
      <c r="B42">
        <v>3020.0000460000001</v>
      </c>
      <c r="C42">
        <v>2.0161999999999999E-2</v>
      </c>
      <c r="E42">
        <v>1</v>
      </c>
      <c r="F42">
        <v>1</v>
      </c>
      <c r="G42">
        <v>1</v>
      </c>
      <c r="H42">
        <v>7</v>
      </c>
      <c r="J42">
        <v>0</v>
      </c>
      <c r="L42">
        <v>289.84391499999998</v>
      </c>
      <c r="N42">
        <v>17.494389000000002</v>
      </c>
      <c r="P42">
        <v>272.329364</v>
      </c>
      <c r="R42">
        <v>43022.000039999999</v>
      </c>
      <c r="S42">
        <v>43022.000050000002</v>
      </c>
      <c r="T42">
        <v>43022.000050000002</v>
      </c>
      <c r="U42">
        <v>40002</v>
      </c>
      <c r="V42">
        <v>3020.0000460000001</v>
      </c>
      <c r="W42">
        <v>3020.0000420000001</v>
      </c>
      <c r="X42">
        <v>2</v>
      </c>
      <c r="Y42">
        <v>4</v>
      </c>
    </row>
    <row r="43" spans="1:25" x14ac:dyDescent="0.3">
      <c r="A43" t="s">
        <v>61</v>
      </c>
      <c r="B43">
        <v>3279.9994409999999</v>
      </c>
      <c r="C43">
        <v>1.9900999999999999E-2</v>
      </c>
      <c r="E43">
        <v>1</v>
      </c>
      <c r="F43">
        <v>1</v>
      </c>
      <c r="G43">
        <v>1</v>
      </c>
      <c r="H43">
        <v>52</v>
      </c>
      <c r="J43">
        <v>0</v>
      </c>
      <c r="L43">
        <v>1873.6043869999999</v>
      </c>
      <c r="N43">
        <v>276.619169</v>
      </c>
      <c r="P43">
        <v>1596.9653169999999</v>
      </c>
      <c r="R43">
        <v>53281.99944</v>
      </c>
      <c r="S43">
        <v>53281.99944</v>
      </c>
      <c r="T43">
        <v>53281.99944</v>
      </c>
      <c r="U43">
        <v>50002</v>
      </c>
      <c r="V43">
        <v>3279.9994409999999</v>
      </c>
      <c r="W43">
        <v>3279.9994409999999</v>
      </c>
      <c r="X43">
        <v>4</v>
      </c>
      <c r="Y43">
        <v>47</v>
      </c>
    </row>
    <row r="44" spans="1:25" x14ac:dyDescent="0.3">
      <c r="A44" t="s">
        <v>62</v>
      </c>
      <c r="B44">
        <v>3279.9994409999999</v>
      </c>
      <c r="C44">
        <v>2.1544000000000001E-2</v>
      </c>
      <c r="E44">
        <v>1</v>
      </c>
      <c r="F44">
        <v>1</v>
      </c>
      <c r="G44">
        <v>1</v>
      </c>
      <c r="H44">
        <v>3</v>
      </c>
      <c r="J44">
        <v>0</v>
      </c>
      <c r="L44">
        <v>79.864007000000001</v>
      </c>
      <c r="N44">
        <v>13.284184</v>
      </c>
      <c r="P44">
        <v>66.558278999999999</v>
      </c>
      <c r="R44">
        <v>53280.999129999997</v>
      </c>
      <c r="S44">
        <v>53280.99944</v>
      </c>
      <c r="T44">
        <v>53280.99944</v>
      </c>
      <c r="U44">
        <v>50001</v>
      </c>
      <c r="V44">
        <v>3279.9994409999999</v>
      </c>
      <c r="W44">
        <v>3279.9991249999998</v>
      </c>
      <c r="X44">
        <v>2</v>
      </c>
      <c r="Y44">
        <v>0</v>
      </c>
    </row>
    <row r="45" spans="1:25" x14ac:dyDescent="0.3">
      <c r="A45" t="s">
        <v>63</v>
      </c>
      <c r="B45">
        <v>3119.9995309999999</v>
      </c>
      <c r="C45">
        <v>1.762E-2</v>
      </c>
      <c r="E45">
        <v>1</v>
      </c>
      <c r="F45">
        <v>1</v>
      </c>
      <c r="G45">
        <v>1</v>
      </c>
      <c r="H45">
        <v>3</v>
      </c>
      <c r="J45">
        <v>0</v>
      </c>
      <c r="L45">
        <v>84.641235999999992</v>
      </c>
      <c r="N45">
        <v>8.2867979999999992</v>
      </c>
      <c r="P45">
        <v>76.336817999999994</v>
      </c>
      <c r="R45">
        <v>43120.999510000001</v>
      </c>
      <c r="S45">
        <v>43120.999530000001</v>
      </c>
      <c r="T45">
        <v>43120.999530000001</v>
      </c>
      <c r="U45">
        <v>40001</v>
      </c>
      <c r="V45">
        <v>3119.9995309999999</v>
      </c>
      <c r="W45">
        <v>3119.9995079999999</v>
      </c>
      <c r="X45">
        <v>2</v>
      </c>
      <c r="Y45">
        <v>0</v>
      </c>
    </row>
    <row r="46" spans="1:25" x14ac:dyDescent="0.3">
      <c r="A46" t="s">
        <v>65</v>
      </c>
      <c r="B46">
        <v>3200.0002439999998</v>
      </c>
      <c r="C46">
        <v>1.3875999999999999E-2</v>
      </c>
      <c r="E46">
        <v>1</v>
      </c>
      <c r="F46">
        <v>1</v>
      </c>
      <c r="G46">
        <v>1</v>
      </c>
      <c r="H46">
        <v>56</v>
      </c>
      <c r="J46">
        <v>0</v>
      </c>
      <c r="L46">
        <v>1795.6803710000002</v>
      </c>
      <c r="N46">
        <v>277.58151500000002</v>
      </c>
      <c r="P46">
        <v>1518.0849800000001</v>
      </c>
      <c r="R46">
        <v>53201.000240000001</v>
      </c>
      <c r="S46">
        <v>53201.000240000001</v>
      </c>
      <c r="T46">
        <v>53201.000240000001</v>
      </c>
      <c r="U46">
        <v>50001</v>
      </c>
      <c r="V46">
        <v>3200.0002439999998</v>
      </c>
      <c r="W46">
        <v>3200.0002359999999</v>
      </c>
      <c r="X46">
        <v>4</v>
      </c>
      <c r="Y46">
        <v>51</v>
      </c>
    </row>
    <row r="47" spans="1:25" x14ac:dyDescent="0.3">
      <c r="A47" t="s">
        <v>66</v>
      </c>
      <c r="B47">
        <v>2939.9999469999998</v>
      </c>
      <c r="C47">
        <v>1.9001000000000001E-2</v>
      </c>
      <c r="E47">
        <v>1</v>
      </c>
      <c r="F47">
        <v>1</v>
      </c>
      <c r="G47">
        <v>1</v>
      </c>
      <c r="H47">
        <v>1</v>
      </c>
      <c r="J47">
        <v>0</v>
      </c>
      <c r="L47">
        <v>8.2756550000000004</v>
      </c>
      <c r="N47">
        <v>2.2237100000000001</v>
      </c>
      <c r="P47">
        <v>6.0329439999999996</v>
      </c>
      <c r="R47">
        <v>52940.999949999998</v>
      </c>
      <c r="S47">
        <v>52940.999949999998</v>
      </c>
      <c r="T47">
        <v>52940.999949999998</v>
      </c>
      <c r="U47">
        <v>50001</v>
      </c>
      <c r="V47">
        <v>2939.9999469999998</v>
      </c>
      <c r="W47">
        <v>2939.9999469999998</v>
      </c>
      <c r="X47">
        <v>0</v>
      </c>
      <c r="Y47">
        <v>0</v>
      </c>
    </row>
    <row r="48" spans="1:25" x14ac:dyDescent="0.3">
      <c r="A48" t="s">
        <v>67</v>
      </c>
      <c r="B48">
        <v>3039.9996310000001</v>
      </c>
      <c r="C48">
        <v>1.9713000000000001E-2</v>
      </c>
      <c r="E48">
        <v>1</v>
      </c>
      <c r="F48">
        <v>1</v>
      </c>
      <c r="G48">
        <v>1</v>
      </c>
      <c r="H48">
        <v>1</v>
      </c>
      <c r="J48">
        <v>0</v>
      </c>
      <c r="L48">
        <v>9.9366260000000004</v>
      </c>
      <c r="N48">
        <v>2.2567870000000001</v>
      </c>
      <c r="P48">
        <v>7.660126</v>
      </c>
      <c r="R48">
        <v>43040.999629999998</v>
      </c>
      <c r="S48">
        <v>43040.999629999998</v>
      </c>
      <c r="T48">
        <v>43040.999629999998</v>
      </c>
      <c r="U48">
        <v>40001</v>
      </c>
      <c r="V48">
        <v>3039.9996310000001</v>
      </c>
      <c r="W48">
        <v>3039.9996310000001</v>
      </c>
      <c r="X48">
        <v>0</v>
      </c>
      <c r="Y48">
        <v>0</v>
      </c>
    </row>
    <row r="49" spans="1:25" x14ac:dyDescent="0.3">
      <c r="A49" t="s">
        <v>68</v>
      </c>
      <c r="B49">
        <v>2959.9999459999999</v>
      </c>
      <c r="C49">
        <v>1.9921000000000001E-2</v>
      </c>
      <c r="E49">
        <v>1</v>
      </c>
      <c r="F49">
        <v>1</v>
      </c>
      <c r="G49">
        <v>1</v>
      </c>
      <c r="H49">
        <v>1</v>
      </c>
      <c r="J49">
        <v>0</v>
      </c>
      <c r="L49">
        <v>19.835284999999999</v>
      </c>
      <c r="N49">
        <v>3.8909099999999999</v>
      </c>
      <c r="P49">
        <v>15.924454000000001</v>
      </c>
      <c r="R49">
        <v>52960.999949999998</v>
      </c>
      <c r="S49">
        <v>52960.999949999998</v>
      </c>
      <c r="T49">
        <v>52960.999949999998</v>
      </c>
      <c r="U49">
        <v>50001</v>
      </c>
      <c r="V49">
        <v>2959.9999459999999</v>
      </c>
      <c r="W49">
        <v>2959.9999459999999</v>
      </c>
      <c r="X49">
        <v>0</v>
      </c>
      <c r="Y49">
        <v>0</v>
      </c>
    </row>
    <row r="50" spans="1:25" x14ac:dyDescent="0.3">
      <c r="A50" t="s">
        <v>69</v>
      </c>
      <c r="B50">
        <v>3119.9998260000002</v>
      </c>
      <c r="C50">
        <v>1.6528000000000001E-2</v>
      </c>
      <c r="E50">
        <v>1</v>
      </c>
      <c r="F50">
        <v>1</v>
      </c>
      <c r="G50">
        <v>1</v>
      </c>
      <c r="H50">
        <v>5</v>
      </c>
      <c r="J50">
        <v>0</v>
      </c>
      <c r="L50">
        <v>134.00595799999999</v>
      </c>
      <c r="N50">
        <v>15.198383</v>
      </c>
      <c r="P50">
        <v>118.79104700000001</v>
      </c>
      <c r="R50">
        <v>43120.999779999998</v>
      </c>
      <c r="S50">
        <v>43120.999830000001</v>
      </c>
      <c r="T50">
        <v>43120.999830000001</v>
      </c>
      <c r="U50">
        <v>40001</v>
      </c>
      <c r="V50">
        <v>3119.9998260000002</v>
      </c>
      <c r="W50">
        <v>3119.9997779999999</v>
      </c>
      <c r="X50">
        <v>3</v>
      </c>
      <c r="Y50">
        <v>1</v>
      </c>
    </row>
    <row r="51" spans="1:25" x14ac:dyDescent="0.3">
      <c r="A51" t="s">
        <v>70</v>
      </c>
      <c r="B51">
        <v>2959.9999459999999</v>
      </c>
      <c r="C51">
        <v>1.9533999999999999E-2</v>
      </c>
      <c r="E51">
        <v>1</v>
      </c>
      <c r="F51">
        <v>1</v>
      </c>
      <c r="G51">
        <v>1</v>
      </c>
      <c r="H51">
        <v>1</v>
      </c>
      <c r="J51">
        <v>0</v>
      </c>
      <c r="L51">
        <v>10.523861</v>
      </c>
      <c r="N51">
        <v>4.9150359999999997</v>
      </c>
      <c r="P51">
        <v>5.5892910000000002</v>
      </c>
      <c r="R51">
        <v>42962.999920000002</v>
      </c>
      <c r="S51">
        <v>42962.999949999998</v>
      </c>
      <c r="T51">
        <v>42962.999949999998</v>
      </c>
      <c r="U51">
        <v>40003</v>
      </c>
      <c r="V51">
        <v>2959.9999459999999</v>
      </c>
      <c r="W51">
        <v>2959.9999229999999</v>
      </c>
      <c r="X51">
        <v>0</v>
      </c>
      <c r="Y51">
        <v>0</v>
      </c>
    </row>
    <row r="52" spans="1:25" x14ac:dyDescent="0.3">
      <c r="A52" t="s">
        <v>71</v>
      </c>
      <c r="B52">
        <v>3019.9997720000001</v>
      </c>
      <c r="C52">
        <v>1.8255E-2</v>
      </c>
      <c r="E52">
        <v>1</v>
      </c>
      <c r="F52">
        <v>1</v>
      </c>
      <c r="G52">
        <v>1</v>
      </c>
      <c r="H52">
        <v>1</v>
      </c>
      <c r="J52">
        <v>0</v>
      </c>
      <c r="L52">
        <v>14.19417</v>
      </c>
      <c r="N52">
        <v>2.0146329999999999</v>
      </c>
      <c r="P52">
        <v>12.161282</v>
      </c>
      <c r="R52">
        <v>43021.999770000002</v>
      </c>
      <c r="S52">
        <v>43021.999770000002</v>
      </c>
      <c r="T52">
        <v>43021.999770000002</v>
      </c>
      <c r="U52">
        <v>40002</v>
      </c>
      <c r="V52">
        <v>3019.9997720000001</v>
      </c>
      <c r="W52">
        <v>3019.9997720000001</v>
      </c>
      <c r="X52">
        <v>0</v>
      </c>
      <c r="Y52">
        <v>0</v>
      </c>
    </row>
    <row r="53" spans="1:25" x14ac:dyDescent="0.3">
      <c r="A53" t="s">
        <v>72</v>
      </c>
      <c r="B53">
        <v>3120.0000030000001</v>
      </c>
      <c r="C53">
        <v>1.8800000000000001E-2</v>
      </c>
      <c r="E53">
        <v>1</v>
      </c>
      <c r="F53">
        <v>1</v>
      </c>
      <c r="G53">
        <v>1</v>
      </c>
      <c r="H53">
        <v>1</v>
      </c>
      <c r="J53">
        <v>0</v>
      </c>
      <c r="L53">
        <v>12.209866999999999</v>
      </c>
      <c r="N53">
        <v>4.71082</v>
      </c>
      <c r="P53">
        <v>7.4802470000000003</v>
      </c>
      <c r="R53">
        <v>43123</v>
      </c>
      <c r="S53">
        <v>43123</v>
      </c>
      <c r="T53">
        <v>43123</v>
      </c>
      <c r="U53">
        <v>40003</v>
      </c>
      <c r="V53">
        <v>3120.0000030000001</v>
      </c>
      <c r="W53">
        <v>3120.0000030000001</v>
      </c>
      <c r="X53">
        <v>0</v>
      </c>
      <c r="Y53">
        <v>0</v>
      </c>
    </row>
    <row r="54" spans="1:25" x14ac:dyDescent="0.3">
      <c r="A54" t="s">
        <v>73</v>
      </c>
      <c r="B54">
        <v>3019.999945</v>
      </c>
      <c r="C54">
        <v>6.5273999999999999E-2</v>
      </c>
      <c r="E54">
        <v>1</v>
      </c>
      <c r="F54">
        <v>1</v>
      </c>
      <c r="G54">
        <v>1</v>
      </c>
      <c r="H54">
        <v>34</v>
      </c>
      <c r="J54">
        <v>0</v>
      </c>
      <c r="L54">
        <v>1089.15877</v>
      </c>
      <c r="N54">
        <v>78.166065000000003</v>
      </c>
      <c r="P54">
        <v>1010.927431</v>
      </c>
      <c r="R54">
        <v>43021.999949999998</v>
      </c>
      <c r="S54">
        <v>43021.999949999998</v>
      </c>
      <c r="T54">
        <v>43021.999949999998</v>
      </c>
      <c r="U54">
        <v>40002</v>
      </c>
      <c r="V54">
        <v>3019.999945</v>
      </c>
      <c r="W54">
        <v>3019.999945</v>
      </c>
      <c r="X54">
        <v>6</v>
      </c>
      <c r="Y54">
        <v>27</v>
      </c>
    </row>
    <row r="55" spans="1:25" x14ac:dyDescent="0.3">
      <c r="A55" t="s">
        <v>74</v>
      </c>
      <c r="B55">
        <v>3019.9999630000002</v>
      </c>
      <c r="C55">
        <v>2.2626E-2</v>
      </c>
      <c r="E55">
        <v>1</v>
      </c>
      <c r="F55">
        <v>1</v>
      </c>
      <c r="G55">
        <v>1</v>
      </c>
      <c r="H55">
        <v>1</v>
      </c>
      <c r="J55">
        <v>0</v>
      </c>
      <c r="L55">
        <v>16.359396</v>
      </c>
      <c r="N55">
        <v>2.9133629999999999</v>
      </c>
      <c r="P55">
        <v>13.423406999999999</v>
      </c>
      <c r="R55">
        <v>43020.999960000001</v>
      </c>
      <c r="S55">
        <v>43020.999960000001</v>
      </c>
      <c r="T55">
        <v>43020.999960000001</v>
      </c>
      <c r="U55">
        <v>40001</v>
      </c>
      <c r="V55">
        <v>3019.9999630000002</v>
      </c>
      <c r="W55">
        <v>3019.9999630000002</v>
      </c>
      <c r="X55">
        <v>0</v>
      </c>
      <c r="Y55">
        <v>0</v>
      </c>
    </row>
    <row r="56" spans="1:25" x14ac:dyDescent="0.3">
      <c r="A56" t="s">
        <v>75</v>
      </c>
      <c r="B56">
        <v>3019.9997720000001</v>
      </c>
      <c r="C56">
        <v>1.866E-2</v>
      </c>
      <c r="E56">
        <v>1</v>
      </c>
      <c r="F56">
        <v>1</v>
      </c>
      <c r="G56">
        <v>1</v>
      </c>
      <c r="H56">
        <v>1</v>
      </c>
      <c r="J56">
        <v>0</v>
      </c>
      <c r="L56">
        <v>16.915676000000001</v>
      </c>
      <c r="N56">
        <v>2.749409</v>
      </c>
      <c r="P56">
        <v>14.147607000000001</v>
      </c>
      <c r="R56">
        <v>43020.999730000003</v>
      </c>
      <c r="S56">
        <v>43020.999770000002</v>
      </c>
      <c r="T56">
        <v>43020.999770000002</v>
      </c>
      <c r="U56">
        <v>40001</v>
      </c>
      <c r="V56">
        <v>3019.9997720000001</v>
      </c>
      <c r="W56">
        <v>3019.9997320000002</v>
      </c>
      <c r="X56">
        <v>0</v>
      </c>
      <c r="Y56">
        <v>0</v>
      </c>
    </row>
    <row r="57" spans="1:25" x14ac:dyDescent="0.3">
      <c r="A57" t="s">
        <v>76</v>
      </c>
      <c r="B57">
        <v>3000.0001609999999</v>
      </c>
      <c r="C57">
        <v>1.8550000000000001E-2</v>
      </c>
      <c r="E57">
        <v>1</v>
      </c>
      <c r="F57">
        <v>1</v>
      </c>
      <c r="G57">
        <v>1</v>
      </c>
      <c r="H57">
        <v>8</v>
      </c>
      <c r="J57">
        <v>0</v>
      </c>
      <c r="L57">
        <v>372.069796</v>
      </c>
      <c r="N57">
        <v>48.186661000000001</v>
      </c>
      <c r="P57">
        <v>323.86458499999998</v>
      </c>
      <c r="R57">
        <v>43002.000160000003</v>
      </c>
      <c r="S57">
        <v>43002.000160000003</v>
      </c>
      <c r="T57">
        <v>43002.000160000003</v>
      </c>
      <c r="U57">
        <v>40002</v>
      </c>
      <c r="V57">
        <v>3000.0001609999999</v>
      </c>
      <c r="W57">
        <v>3000.0001609999999</v>
      </c>
      <c r="X57">
        <v>3</v>
      </c>
      <c r="Y57">
        <v>4</v>
      </c>
    </row>
    <row r="58" spans="1:25" x14ac:dyDescent="0.3">
      <c r="A58" t="s">
        <v>77</v>
      </c>
      <c r="B58">
        <v>3119.999957</v>
      </c>
      <c r="C58">
        <v>1.4595E-2</v>
      </c>
      <c r="E58">
        <v>1</v>
      </c>
      <c r="F58">
        <v>1</v>
      </c>
      <c r="G58">
        <v>1</v>
      </c>
      <c r="H58">
        <v>1</v>
      </c>
      <c r="J58">
        <v>0</v>
      </c>
      <c r="L58">
        <v>19.628366</v>
      </c>
      <c r="N58">
        <v>9.6250309999999999</v>
      </c>
      <c r="P58">
        <v>9.98874</v>
      </c>
      <c r="R58">
        <v>53121.000240000001</v>
      </c>
      <c r="S58">
        <v>53120.999960000001</v>
      </c>
      <c r="T58">
        <v>53120.999960000001</v>
      </c>
      <c r="U58">
        <v>50001</v>
      </c>
      <c r="V58">
        <v>3119.999957</v>
      </c>
      <c r="W58">
        <v>3120.000243</v>
      </c>
      <c r="X58">
        <v>0</v>
      </c>
      <c r="Y58">
        <v>0</v>
      </c>
    </row>
    <row r="59" spans="1:25" x14ac:dyDescent="0.3">
      <c r="A59" t="s">
        <v>78</v>
      </c>
      <c r="B59">
        <v>3200.0002439999998</v>
      </c>
      <c r="C59">
        <v>1.4762000000000001E-2</v>
      </c>
      <c r="E59">
        <v>1</v>
      </c>
      <c r="F59">
        <v>1</v>
      </c>
      <c r="G59">
        <v>1</v>
      </c>
      <c r="H59">
        <v>1</v>
      </c>
      <c r="J59">
        <v>0</v>
      </c>
      <c r="L59">
        <v>36.165883999999998</v>
      </c>
      <c r="N59">
        <v>3.7946080000000002</v>
      </c>
      <c r="P59">
        <v>32.356513999999997</v>
      </c>
      <c r="R59">
        <v>53201.000240000001</v>
      </c>
      <c r="S59">
        <v>53201.000240000001</v>
      </c>
      <c r="T59">
        <v>53201.000240000001</v>
      </c>
      <c r="U59">
        <v>50001</v>
      </c>
      <c r="V59">
        <v>3200.0002439999998</v>
      </c>
      <c r="W59">
        <v>3200.0002439999998</v>
      </c>
      <c r="X59">
        <v>0</v>
      </c>
      <c r="Y59">
        <v>0</v>
      </c>
    </row>
    <row r="60" spans="1:25" s="3" customFormat="1" x14ac:dyDescent="0.3">
      <c r="A60" s="3" t="s">
        <v>79</v>
      </c>
      <c r="B60" s="3">
        <v>3119.999675</v>
      </c>
      <c r="C60" s="3">
        <v>2.138E-2</v>
      </c>
      <c r="E60" s="3">
        <v>1</v>
      </c>
      <c r="F60" s="3">
        <v>1</v>
      </c>
      <c r="G60" s="3">
        <v>1</v>
      </c>
      <c r="H60" s="3">
        <v>2</v>
      </c>
      <c r="J60" s="3">
        <v>0</v>
      </c>
      <c r="L60" s="3">
        <v>46.520296000000002</v>
      </c>
      <c r="N60" s="3">
        <v>5.8140669999999997</v>
      </c>
      <c r="P60" s="3">
        <v>40.684849</v>
      </c>
      <c r="R60" s="3">
        <v>43120.999680000001</v>
      </c>
      <c r="S60" s="3">
        <v>43120.999680000001</v>
      </c>
      <c r="T60" s="3">
        <v>43120.999680000001</v>
      </c>
      <c r="U60" s="3">
        <v>40001</v>
      </c>
      <c r="V60" s="3">
        <v>3119.999675</v>
      </c>
      <c r="W60" s="3">
        <v>3119.999675</v>
      </c>
      <c r="X60" s="3">
        <v>1</v>
      </c>
      <c r="Y60" s="3">
        <v>0</v>
      </c>
    </row>
    <row r="61" spans="1:25" s="1" customFormat="1" x14ac:dyDescent="0.3">
      <c r="A61" s="1" t="s">
        <v>64</v>
      </c>
      <c r="B61" s="1">
        <v>3220.0001419999999</v>
      </c>
      <c r="C61" s="1">
        <v>1.8055999999999999E-2</v>
      </c>
      <c r="E61" s="1">
        <v>0</v>
      </c>
      <c r="F61" s="1">
        <v>1</v>
      </c>
      <c r="G61" s="1">
        <v>-1</v>
      </c>
      <c r="H61" s="1">
        <v>93</v>
      </c>
      <c r="J61" s="1">
        <v>3.7599999999999998E-4</v>
      </c>
      <c r="L61" s="1">
        <v>3600.0207110000001</v>
      </c>
      <c r="N61" s="1">
        <v>463.99480499999999</v>
      </c>
      <c r="P61" s="1">
        <v>3136.00785</v>
      </c>
      <c r="R61" s="1">
        <v>53241.000030000003</v>
      </c>
      <c r="S61" s="1">
        <v>53221.000139999996</v>
      </c>
      <c r="T61" s="1">
        <v>53221.000139999996</v>
      </c>
      <c r="U61" s="1">
        <v>50001</v>
      </c>
      <c r="V61" s="1">
        <v>3220.0001419999999</v>
      </c>
      <c r="W61" s="1">
        <v>-1</v>
      </c>
      <c r="X61" s="1">
        <v>3</v>
      </c>
      <c r="Y61" s="1">
        <v>88</v>
      </c>
    </row>
    <row r="62" spans="1:25" x14ac:dyDescent="0.3">
      <c r="A62" t="s">
        <v>80</v>
      </c>
      <c r="B62">
        <v>4453.3329009999998</v>
      </c>
      <c r="C62">
        <v>5.8430999999999997E-2</v>
      </c>
      <c r="D62">
        <f>SUM(E62:E87)</f>
        <v>26</v>
      </c>
      <c r="E62">
        <v>1</v>
      </c>
      <c r="F62">
        <v>1</v>
      </c>
      <c r="G62">
        <v>1</v>
      </c>
      <c r="H62">
        <v>1</v>
      </c>
      <c r="I62">
        <v>2.4615384615384617</v>
      </c>
      <c r="J62">
        <v>0</v>
      </c>
      <c r="K62">
        <f>AVERAGE(J88:J91)</f>
        <v>8.4975000000000003E-4</v>
      </c>
      <c r="L62">
        <v>192.74272200000001</v>
      </c>
      <c r="M62">
        <v>695.67544007692311</v>
      </c>
      <c r="N62">
        <v>14.269783</v>
      </c>
      <c r="O62">
        <v>54.822057615384615</v>
      </c>
      <c r="P62">
        <v>178.41450800000001</v>
      </c>
      <c r="Q62">
        <v>640.82286819230762</v>
      </c>
      <c r="R62">
        <v>64454.33309</v>
      </c>
      <c r="S62">
        <v>64454.332900000001</v>
      </c>
      <c r="T62">
        <v>64454.332900000001</v>
      </c>
      <c r="U62">
        <v>60001</v>
      </c>
      <c r="V62">
        <v>4453.3329009999998</v>
      </c>
      <c r="W62">
        <v>4453.3330919999999</v>
      </c>
      <c r="X62">
        <v>0</v>
      </c>
      <c r="Y62">
        <v>0</v>
      </c>
    </row>
    <row r="63" spans="1:25" x14ac:dyDescent="0.3">
      <c r="A63" t="s">
        <v>81</v>
      </c>
      <c r="B63">
        <v>4799.9997080000003</v>
      </c>
      <c r="C63">
        <v>2.7713999999999999E-2</v>
      </c>
      <c r="E63">
        <v>1</v>
      </c>
      <c r="F63">
        <v>1</v>
      </c>
      <c r="G63">
        <v>1</v>
      </c>
      <c r="H63">
        <v>1</v>
      </c>
      <c r="J63">
        <v>0</v>
      </c>
      <c r="L63">
        <v>223.38472400000001</v>
      </c>
      <c r="N63">
        <v>16.917611999999998</v>
      </c>
      <c r="P63">
        <v>206.43939800000001</v>
      </c>
      <c r="R63">
        <v>64800.999709999996</v>
      </c>
      <c r="S63">
        <v>64800.999709999996</v>
      </c>
      <c r="T63">
        <v>64800.999709999996</v>
      </c>
      <c r="U63">
        <v>60001</v>
      </c>
      <c r="V63">
        <v>4799.9997080000003</v>
      </c>
      <c r="W63">
        <v>4799.9997080000003</v>
      </c>
      <c r="X63">
        <v>0</v>
      </c>
      <c r="Y63">
        <v>0</v>
      </c>
    </row>
    <row r="64" spans="1:25" x14ac:dyDescent="0.3">
      <c r="A64" t="s">
        <v>82</v>
      </c>
      <c r="B64">
        <v>4719.9995220000001</v>
      </c>
      <c r="C64">
        <v>2.8032999999999999E-2</v>
      </c>
      <c r="E64">
        <v>1</v>
      </c>
      <c r="F64">
        <v>1</v>
      </c>
      <c r="G64">
        <v>1</v>
      </c>
      <c r="H64">
        <v>1</v>
      </c>
      <c r="J64">
        <v>0</v>
      </c>
      <c r="L64">
        <v>296.86094400000002</v>
      </c>
      <c r="N64">
        <v>17.771681000000001</v>
      </c>
      <c r="P64">
        <v>279.06123000000002</v>
      </c>
      <c r="R64">
        <v>64720.999080000001</v>
      </c>
      <c r="S64">
        <v>64720.999519999998</v>
      </c>
      <c r="T64">
        <v>64720.999519999998</v>
      </c>
      <c r="U64">
        <v>60001</v>
      </c>
      <c r="V64">
        <v>4719.9995220000001</v>
      </c>
      <c r="W64">
        <v>4719.9990779999998</v>
      </c>
      <c r="X64">
        <v>0</v>
      </c>
      <c r="Y64">
        <v>0</v>
      </c>
    </row>
    <row r="65" spans="1:25" x14ac:dyDescent="0.3">
      <c r="A65" t="s">
        <v>83</v>
      </c>
      <c r="B65">
        <v>4576.6661260000001</v>
      </c>
      <c r="C65">
        <v>3.6262000000000003E-2</v>
      </c>
      <c r="E65">
        <v>1</v>
      </c>
      <c r="F65">
        <v>1</v>
      </c>
      <c r="G65">
        <v>1</v>
      </c>
      <c r="H65">
        <v>1</v>
      </c>
      <c r="J65">
        <v>0</v>
      </c>
      <c r="L65">
        <v>397.83039500000001</v>
      </c>
      <c r="N65">
        <v>16.920983</v>
      </c>
      <c r="P65">
        <v>380.87315000000001</v>
      </c>
      <c r="R65">
        <v>64578.666080000003</v>
      </c>
      <c r="S65">
        <v>64578.666129999998</v>
      </c>
      <c r="T65">
        <v>64578.666129999998</v>
      </c>
      <c r="U65">
        <v>60002</v>
      </c>
      <c r="V65">
        <v>4576.6661260000001</v>
      </c>
      <c r="W65">
        <v>4576.6660789999996</v>
      </c>
      <c r="X65">
        <v>0</v>
      </c>
      <c r="Y65">
        <v>0</v>
      </c>
    </row>
    <row r="66" spans="1:25" x14ac:dyDescent="0.3">
      <c r="A66" t="s">
        <v>84</v>
      </c>
      <c r="B66">
        <v>4439.999965</v>
      </c>
      <c r="C66">
        <v>2.4209000000000001E-2</v>
      </c>
      <c r="E66">
        <v>1</v>
      </c>
      <c r="F66">
        <v>1</v>
      </c>
      <c r="G66">
        <v>1</v>
      </c>
      <c r="H66">
        <v>1</v>
      </c>
      <c r="J66">
        <v>0</v>
      </c>
      <c r="L66">
        <v>206.20055199999999</v>
      </c>
      <c r="N66">
        <v>10.266895999999999</v>
      </c>
      <c r="P66">
        <v>195.909447</v>
      </c>
      <c r="R66">
        <v>64441.999860000004</v>
      </c>
      <c r="S66">
        <v>64441.999969999997</v>
      </c>
      <c r="T66">
        <v>64441.999969999997</v>
      </c>
      <c r="U66">
        <v>60002</v>
      </c>
      <c r="V66">
        <v>4439.999965</v>
      </c>
      <c r="W66">
        <v>4439.9998619999997</v>
      </c>
      <c r="X66">
        <v>0</v>
      </c>
      <c r="Y66">
        <v>0</v>
      </c>
    </row>
    <row r="67" spans="1:25" x14ac:dyDescent="0.3">
      <c r="A67" t="s">
        <v>85</v>
      </c>
      <c r="B67">
        <v>4453.3329009999998</v>
      </c>
      <c r="C67">
        <v>2.6577E-2</v>
      </c>
      <c r="E67">
        <v>1</v>
      </c>
      <c r="F67">
        <v>1</v>
      </c>
      <c r="G67">
        <v>1</v>
      </c>
      <c r="H67">
        <v>1</v>
      </c>
      <c r="J67">
        <v>0</v>
      </c>
      <c r="L67">
        <v>148.73126500000001</v>
      </c>
      <c r="N67">
        <v>15.667721</v>
      </c>
      <c r="P67">
        <v>133.036967</v>
      </c>
      <c r="R67">
        <v>64454.333189999998</v>
      </c>
      <c r="S67">
        <v>64454.332900000001</v>
      </c>
      <c r="T67">
        <v>64454.332900000001</v>
      </c>
      <c r="U67">
        <v>60001</v>
      </c>
      <c r="V67">
        <v>4453.3329009999998</v>
      </c>
      <c r="W67">
        <v>4453.3331870000002</v>
      </c>
      <c r="X67">
        <v>0</v>
      </c>
      <c r="Y67">
        <v>0</v>
      </c>
    </row>
    <row r="68" spans="1:25" x14ac:dyDescent="0.3">
      <c r="A68" t="s">
        <v>86</v>
      </c>
      <c r="B68">
        <v>4423.3330669999996</v>
      </c>
      <c r="C68">
        <v>2.6981000000000002E-2</v>
      </c>
      <c r="E68">
        <v>1</v>
      </c>
      <c r="F68">
        <v>1</v>
      </c>
      <c r="G68">
        <v>1</v>
      </c>
      <c r="H68">
        <v>1</v>
      </c>
      <c r="J68">
        <v>0</v>
      </c>
      <c r="L68">
        <v>433.34925999999996</v>
      </c>
      <c r="N68">
        <v>56.602822000000003</v>
      </c>
      <c r="P68">
        <v>376.71945699999998</v>
      </c>
      <c r="R68">
        <v>74425.333060000004</v>
      </c>
      <c r="S68">
        <v>74425.333069999993</v>
      </c>
      <c r="T68">
        <v>74425.333069999993</v>
      </c>
      <c r="U68">
        <v>70002</v>
      </c>
      <c r="V68">
        <v>4423.3330669999996</v>
      </c>
      <c r="W68">
        <v>4423.3330589999996</v>
      </c>
      <c r="X68">
        <v>0</v>
      </c>
      <c r="Y68">
        <v>0</v>
      </c>
    </row>
    <row r="69" spans="1:25" x14ac:dyDescent="0.3">
      <c r="A69" t="s">
        <v>87</v>
      </c>
      <c r="B69">
        <v>4829.9997030000004</v>
      </c>
      <c r="C69">
        <v>3.0210999999999998E-2</v>
      </c>
      <c r="E69">
        <v>1</v>
      </c>
      <c r="F69">
        <v>1</v>
      </c>
      <c r="G69">
        <v>1</v>
      </c>
      <c r="H69">
        <v>2</v>
      </c>
      <c r="J69">
        <v>0</v>
      </c>
      <c r="L69">
        <v>727.25229100000001</v>
      </c>
      <c r="N69">
        <v>166.21292299999999</v>
      </c>
      <c r="P69">
        <v>561.00915699999996</v>
      </c>
      <c r="R69">
        <v>74830.999890000006</v>
      </c>
      <c r="S69">
        <v>74830.9997</v>
      </c>
      <c r="T69">
        <v>74830.9997</v>
      </c>
      <c r="U69">
        <v>70001</v>
      </c>
      <c r="V69">
        <v>4829.9997030000004</v>
      </c>
      <c r="W69">
        <v>4829.9998939999996</v>
      </c>
      <c r="X69">
        <v>1</v>
      </c>
      <c r="Y69">
        <v>0</v>
      </c>
    </row>
    <row r="70" spans="1:25" x14ac:dyDescent="0.3">
      <c r="A70" t="s">
        <v>88</v>
      </c>
      <c r="B70">
        <v>4410.0003109999998</v>
      </c>
      <c r="C70">
        <v>2.4759E-2</v>
      </c>
      <c r="E70">
        <v>1</v>
      </c>
      <c r="F70">
        <v>1</v>
      </c>
      <c r="G70">
        <v>1</v>
      </c>
      <c r="H70">
        <v>1</v>
      </c>
      <c r="J70">
        <v>0</v>
      </c>
      <c r="L70">
        <v>300.07677000000001</v>
      </c>
      <c r="N70">
        <v>12.52661</v>
      </c>
      <c r="P70">
        <v>287.52540099999999</v>
      </c>
      <c r="R70">
        <v>64411.999620000002</v>
      </c>
      <c r="S70">
        <v>64412.000310000003</v>
      </c>
      <c r="T70">
        <v>64412.000310000003</v>
      </c>
      <c r="U70">
        <v>60002</v>
      </c>
      <c r="V70">
        <v>4410.0003109999998</v>
      </c>
      <c r="W70">
        <v>4409.9996170000004</v>
      </c>
      <c r="X70">
        <v>0</v>
      </c>
      <c r="Y70">
        <v>0</v>
      </c>
    </row>
    <row r="71" spans="1:25" x14ac:dyDescent="0.3">
      <c r="A71" t="s">
        <v>89</v>
      </c>
      <c r="B71">
        <v>4609.9999550000002</v>
      </c>
      <c r="C71">
        <v>2.0331999999999999E-2</v>
      </c>
      <c r="E71">
        <v>1</v>
      </c>
      <c r="F71">
        <v>1</v>
      </c>
      <c r="G71">
        <v>1</v>
      </c>
      <c r="H71">
        <v>1</v>
      </c>
      <c r="J71">
        <v>0</v>
      </c>
      <c r="L71">
        <v>116.17863</v>
      </c>
      <c r="N71">
        <v>10.036414000000001</v>
      </c>
      <c r="P71">
        <v>106.12188399999999</v>
      </c>
      <c r="R71">
        <v>64610.999940000002</v>
      </c>
      <c r="S71">
        <v>64610.999960000001</v>
      </c>
      <c r="T71">
        <v>64610.999960000001</v>
      </c>
      <c r="U71">
        <v>60001</v>
      </c>
      <c r="V71">
        <v>4609.9999550000002</v>
      </c>
      <c r="W71">
        <v>4609.9999390000003</v>
      </c>
      <c r="X71">
        <v>0</v>
      </c>
      <c r="Y71">
        <v>0</v>
      </c>
    </row>
    <row r="72" spans="1:25" x14ac:dyDescent="0.3">
      <c r="A72" t="s">
        <v>90</v>
      </c>
      <c r="B72">
        <v>4559.9995170000002</v>
      </c>
      <c r="C72">
        <v>2.726E-2</v>
      </c>
      <c r="E72">
        <v>1</v>
      </c>
      <c r="F72">
        <v>1</v>
      </c>
      <c r="G72">
        <v>1</v>
      </c>
      <c r="H72">
        <v>1</v>
      </c>
      <c r="J72">
        <v>0</v>
      </c>
      <c r="L72">
        <v>142.96463299999999</v>
      </c>
      <c r="N72">
        <v>22.784458999999998</v>
      </c>
      <c r="P72">
        <v>120.152914</v>
      </c>
      <c r="R72">
        <v>64561.999519999998</v>
      </c>
      <c r="S72">
        <v>64561.999519999998</v>
      </c>
      <c r="T72">
        <v>64561.999519999998</v>
      </c>
      <c r="U72">
        <v>60002</v>
      </c>
      <c r="V72">
        <v>4559.9995170000002</v>
      </c>
      <c r="W72">
        <v>4559.9995170000002</v>
      </c>
      <c r="X72">
        <v>0</v>
      </c>
      <c r="Y72">
        <v>0</v>
      </c>
    </row>
    <row r="73" spans="1:25" x14ac:dyDescent="0.3">
      <c r="A73" t="s">
        <v>91</v>
      </c>
      <c r="B73">
        <v>4423.3330669999996</v>
      </c>
      <c r="C73">
        <v>2.6917E-2</v>
      </c>
      <c r="E73">
        <v>1</v>
      </c>
      <c r="F73">
        <v>1</v>
      </c>
      <c r="G73">
        <v>1</v>
      </c>
      <c r="H73">
        <v>1</v>
      </c>
      <c r="J73">
        <v>0</v>
      </c>
      <c r="L73">
        <v>187.70689200000001</v>
      </c>
      <c r="N73">
        <v>22.442731999999999</v>
      </c>
      <c r="P73">
        <v>165.23724300000001</v>
      </c>
      <c r="R73">
        <v>64427.333050000001</v>
      </c>
      <c r="S73">
        <v>64427.333070000001</v>
      </c>
      <c r="T73">
        <v>64427.333070000001</v>
      </c>
      <c r="U73">
        <v>60004</v>
      </c>
      <c r="V73">
        <v>4423.3330669999996</v>
      </c>
      <c r="W73">
        <v>4423.3330509999996</v>
      </c>
      <c r="X73">
        <v>0</v>
      </c>
      <c r="Y73">
        <v>0</v>
      </c>
    </row>
    <row r="74" spans="1:25" x14ac:dyDescent="0.3">
      <c r="A74" t="s">
        <v>92</v>
      </c>
      <c r="B74">
        <v>4493.3327669999999</v>
      </c>
      <c r="C74">
        <v>2.0539000000000002E-2</v>
      </c>
      <c r="E74">
        <v>1</v>
      </c>
      <c r="F74">
        <v>1</v>
      </c>
      <c r="G74">
        <v>1</v>
      </c>
      <c r="H74">
        <v>1</v>
      </c>
      <c r="J74">
        <v>0</v>
      </c>
      <c r="L74">
        <v>255.58632299999999</v>
      </c>
      <c r="N74">
        <v>14.883259000000001</v>
      </c>
      <c r="P74">
        <v>240.682525</v>
      </c>
      <c r="R74">
        <v>64494.332580000002</v>
      </c>
      <c r="S74">
        <v>64494.332770000001</v>
      </c>
      <c r="T74">
        <v>64494.332770000001</v>
      </c>
      <c r="U74">
        <v>60001</v>
      </c>
      <c r="V74">
        <v>4493.3327669999999</v>
      </c>
      <c r="W74">
        <v>4493.3325770000001</v>
      </c>
      <c r="X74">
        <v>0</v>
      </c>
      <c r="Y74">
        <v>0</v>
      </c>
    </row>
    <row r="75" spans="1:25" x14ac:dyDescent="0.3">
      <c r="A75" t="s">
        <v>93</v>
      </c>
      <c r="B75">
        <v>4670.0000579999996</v>
      </c>
      <c r="C75">
        <v>2.5131000000000001E-2</v>
      </c>
      <c r="E75">
        <v>1</v>
      </c>
      <c r="F75">
        <v>1</v>
      </c>
      <c r="G75">
        <v>1</v>
      </c>
      <c r="H75">
        <v>8</v>
      </c>
      <c r="J75">
        <v>0</v>
      </c>
      <c r="L75">
        <v>1737.1953980000001</v>
      </c>
      <c r="N75">
        <v>134.07463899999999</v>
      </c>
      <c r="P75">
        <v>1603.095628</v>
      </c>
      <c r="R75">
        <v>64671.999860000004</v>
      </c>
      <c r="S75">
        <v>64672.000059999998</v>
      </c>
      <c r="T75">
        <v>64672.000059999998</v>
      </c>
      <c r="U75">
        <v>60002</v>
      </c>
      <c r="V75">
        <v>4670.0000579999996</v>
      </c>
      <c r="W75">
        <v>4669.9998569999998</v>
      </c>
      <c r="X75">
        <v>2</v>
      </c>
      <c r="Y75">
        <v>5</v>
      </c>
    </row>
    <row r="76" spans="1:25" x14ac:dyDescent="0.3">
      <c r="A76" t="s">
        <v>94</v>
      </c>
      <c r="B76">
        <v>4573.3333709999997</v>
      </c>
      <c r="C76">
        <v>2.3285E-2</v>
      </c>
      <c r="E76">
        <v>1</v>
      </c>
      <c r="F76">
        <v>1</v>
      </c>
      <c r="G76">
        <v>1</v>
      </c>
      <c r="H76">
        <v>3</v>
      </c>
      <c r="J76">
        <v>0</v>
      </c>
      <c r="L76">
        <v>1020.304762</v>
      </c>
      <c r="N76">
        <v>103.121144</v>
      </c>
      <c r="P76">
        <v>917.16033300000004</v>
      </c>
      <c r="R76">
        <v>64574.333350000001</v>
      </c>
      <c r="S76">
        <v>64574.33337</v>
      </c>
      <c r="T76">
        <v>64574.33337</v>
      </c>
      <c r="U76">
        <v>60001</v>
      </c>
      <c r="V76">
        <v>4573.3333709999997</v>
      </c>
      <c r="W76">
        <v>4573.3333460000003</v>
      </c>
      <c r="X76">
        <v>1</v>
      </c>
      <c r="Y76">
        <v>1</v>
      </c>
    </row>
    <row r="77" spans="1:25" x14ac:dyDescent="0.3">
      <c r="A77" t="s">
        <v>99</v>
      </c>
      <c r="B77">
        <v>4603.3325580000001</v>
      </c>
      <c r="C77">
        <v>3.8965E-2</v>
      </c>
      <c r="E77">
        <v>1</v>
      </c>
      <c r="F77">
        <v>1</v>
      </c>
      <c r="G77">
        <v>1</v>
      </c>
      <c r="H77">
        <v>8</v>
      </c>
      <c r="J77">
        <v>0</v>
      </c>
      <c r="L77">
        <v>2464.8741530000002</v>
      </c>
      <c r="N77">
        <v>141.458842</v>
      </c>
      <c r="P77">
        <v>2323.376346</v>
      </c>
      <c r="R77">
        <v>64604.332130000003</v>
      </c>
      <c r="S77">
        <v>64604.332560000003</v>
      </c>
      <c r="T77">
        <v>64604.332560000003</v>
      </c>
      <c r="U77">
        <v>60001</v>
      </c>
      <c r="V77">
        <v>4603.3325580000001</v>
      </c>
      <c r="W77">
        <v>4603.3321290000004</v>
      </c>
      <c r="X77">
        <v>2</v>
      </c>
      <c r="Y77">
        <v>5</v>
      </c>
    </row>
    <row r="78" spans="1:25" x14ac:dyDescent="0.3">
      <c r="A78" t="s">
        <v>100</v>
      </c>
      <c r="B78">
        <v>4373.3333169999996</v>
      </c>
      <c r="C78">
        <v>1.9983999999999998E-2</v>
      </c>
      <c r="E78">
        <v>1</v>
      </c>
      <c r="F78">
        <v>1</v>
      </c>
      <c r="G78">
        <v>1</v>
      </c>
      <c r="H78">
        <v>2</v>
      </c>
      <c r="J78">
        <v>0</v>
      </c>
      <c r="L78">
        <v>646.22697800000003</v>
      </c>
      <c r="N78">
        <v>37.078316000000001</v>
      </c>
      <c r="P78">
        <v>609.12867800000004</v>
      </c>
      <c r="R78">
        <v>64374.33311</v>
      </c>
      <c r="S78">
        <v>64374.333319999998</v>
      </c>
      <c r="T78">
        <v>64374.333319999998</v>
      </c>
      <c r="U78">
        <v>60001</v>
      </c>
      <c r="V78">
        <v>4373.3333169999996</v>
      </c>
      <c r="W78">
        <v>4373.3331090000001</v>
      </c>
      <c r="X78">
        <v>1</v>
      </c>
      <c r="Y78">
        <v>0</v>
      </c>
    </row>
    <row r="79" spans="1:25" x14ac:dyDescent="0.3">
      <c r="A79" t="s">
        <v>101</v>
      </c>
      <c r="B79">
        <v>4603.3325580000001</v>
      </c>
      <c r="C79">
        <v>2.4351000000000001E-2</v>
      </c>
      <c r="E79">
        <v>1</v>
      </c>
      <c r="F79">
        <v>1</v>
      </c>
      <c r="G79">
        <v>1</v>
      </c>
      <c r="H79">
        <v>2</v>
      </c>
      <c r="J79">
        <v>0</v>
      </c>
      <c r="L79">
        <v>438.27140500000002</v>
      </c>
      <c r="N79">
        <v>37.430950000000003</v>
      </c>
      <c r="P79">
        <v>400.816104</v>
      </c>
      <c r="R79">
        <v>64606.332560000003</v>
      </c>
      <c r="S79">
        <v>64606.332560000003</v>
      </c>
      <c r="T79">
        <v>64606.332560000003</v>
      </c>
      <c r="U79">
        <v>60003</v>
      </c>
      <c r="V79">
        <v>4603.3325580000001</v>
      </c>
      <c r="W79">
        <v>4603.3325580000001</v>
      </c>
      <c r="X79">
        <v>1</v>
      </c>
      <c r="Y79">
        <v>0</v>
      </c>
    </row>
    <row r="80" spans="1:25" x14ac:dyDescent="0.3">
      <c r="A80" t="s">
        <v>102</v>
      </c>
      <c r="B80">
        <v>4423.3330669999996</v>
      </c>
      <c r="C80">
        <v>2.5558999999999998E-2</v>
      </c>
      <c r="E80">
        <v>1</v>
      </c>
      <c r="F80">
        <v>1</v>
      </c>
      <c r="G80">
        <v>1</v>
      </c>
      <c r="H80">
        <v>1</v>
      </c>
      <c r="J80">
        <v>0</v>
      </c>
      <c r="L80">
        <v>206.25765799999999</v>
      </c>
      <c r="N80">
        <v>10.124684999999999</v>
      </c>
      <c r="P80">
        <v>196.10741400000001</v>
      </c>
      <c r="R80">
        <v>64425.333070000001</v>
      </c>
      <c r="S80">
        <v>64425.333070000001</v>
      </c>
      <c r="T80">
        <v>64425.333070000001</v>
      </c>
      <c r="U80">
        <v>60002</v>
      </c>
      <c r="V80">
        <v>4423.3330669999996</v>
      </c>
      <c r="W80">
        <v>4423.3330669999996</v>
      </c>
      <c r="X80">
        <v>0</v>
      </c>
      <c r="Y80">
        <v>0</v>
      </c>
    </row>
    <row r="81" spans="1:25" x14ac:dyDescent="0.3">
      <c r="A81" t="s">
        <v>103</v>
      </c>
      <c r="B81">
        <v>4949.999452</v>
      </c>
      <c r="C81">
        <v>7.2452000000000003E-2</v>
      </c>
      <c r="E81">
        <v>1</v>
      </c>
      <c r="F81">
        <v>1</v>
      </c>
      <c r="G81">
        <v>1</v>
      </c>
      <c r="H81">
        <v>1</v>
      </c>
      <c r="J81">
        <v>0</v>
      </c>
      <c r="L81">
        <v>283.496039</v>
      </c>
      <c r="N81">
        <v>27.181007999999999</v>
      </c>
      <c r="P81">
        <v>256.24257899999998</v>
      </c>
      <c r="R81">
        <v>64951.998570000003</v>
      </c>
      <c r="S81">
        <v>64951.999450000003</v>
      </c>
      <c r="T81">
        <v>64951.999450000003</v>
      </c>
      <c r="U81">
        <v>60002</v>
      </c>
      <c r="V81">
        <v>4949.999452</v>
      </c>
      <c r="W81">
        <v>4949.9985740000002</v>
      </c>
      <c r="X81">
        <v>0</v>
      </c>
      <c r="Y81">
        <v>0</v>
      </c>
    </row>
    <row r="82" spans="1:25" x14ac:dyDescent="0.3">
      <c r="A82" t="s">
        <v>104</v>
      </c>
      <c r="B82">
        <v>4546.6665860000003</v>
      </c>
      <c r="C82">
        <v>2.7125E-2</v>
      </c>
      <c r="E82">
        <v>1</v>
      </c>
      <c r="F82">
        <v>1</v>
      </c>
      <c r="G82">
        <v>1</v>
      </c>
      <c r="H82">
        <v>4</v>
      </c>
      <c r="J82">
        <v>0</v>
      </c>
      <c r="L82">
        <v>1325.1401049999999</v>
      </c>
      <c r="N82">
        <v>72.565802000000005</v>
      </c>
      <c r="P82">
        <v>1252.547178</v>
      </c>
      <c r="R82">
        <v>64548.666590000001</v>
      </c>
      <c r="S82">
        <v>64548.666590000001</v>
      </c>
      <c r="T82">
        <v>64548.666590000001</v>
      </c>
      <c r="U82">
        <v>60002</v>
      </c>
      <c r="V82">
        <v>4546.6665860000003</v>
      </c>
      <c r="W82">
        <v>4546.6665860000003</v>
      </c>
      <c r="X82">
        <v>1</v>
      </c>
      <c r="Y82">
        <v>2</v>
      </c>
    </row>
    <row r="83" spans="1:25" x14ac:dyDescent="0.3">
      <c r="A83" t="s">
        <v>105</v>
      </c>
      <c r="B83">
        <v>4603.3328449999999</v>
      </c>
      <c r="C83">
        <v>5.1566000000000001E-2</v>
      </c>
      <c r="E83">
        <v>1</v>
      </c>
      <c r="F83">
        <v>1</v>
      </c>
      <c r="G83">
        <v>1</v>
      </c>
      <c r="H83">
        <v>3</v>
      </c>
      <c r="J83">
        <v>0</v>
      </c>
      <c r="L83">
        <v>678.71509500000002</v>
      </c>
      <c r="N83">
        <v>84.57732</v>
      </c>
      <c r="P83">
        <v>594.08620900000005</v>
      </c>
      <c r="R83">
        <v>64606.332880000002</v>
      </c>
      <c r="S83">
        <v>64606.332849999999</v>
      </c>
      <c r="T83">
        <v>64606.332849999999</v>
      </c>
      <c r="U83">
        <v>60003</v>
      </c>
      <c r="V83">
        <v>4603.3328449999999</v>
      </c>
      <c r="W83">
        <v>4603.3328760000004</v>
      </c>
      <c r="X83">
        <v>1</v>
      </c>
      <c r="Y83">
        <v>1</v>
      </c>
    </row>
    <row r="84" spans="1:25" x14ac:dyDescent="0.3">
      <c r="A84" t="s">
        <v>106</v>
      </c>
      <c r="B84">
        <v>4849.9994459999998</v>
      </c>
      <c r="C84">
        <v>2.7184E-2</v>
      </c>
      <c r="E84">
        <v>1</v>
      </c>
      <c r="F84">
        <v>1</v>
      </c>
      <c r="G84">
        <v>1</v>
      </c>
      <c r="H84">
        <v>2</v>
      </c>
      <c r="J84">
        <v>0</v>
      </c>
      <c r="L84">
        <v>711.37651800000003</v>
      </c>
      <c r="N84">
        <v>56.614708</v>
      </c>
      <c r="P84">
        <v>654.73462600000005</v>
      </c>
      <c r="R84">
        <v>64851.998350000002</v>
      </c>
      <c r="S84">
        <v>64851.998350000002</v>
      </c>
      <c r="T84">
        <v>64851.998350000002</v>
      </c>
      <c r="U84">
        <v>60001.998899999999</v>
      </c>
      <c r="V84">
        <v>4849.9994459999998</v>
      </c>
      <c r="W84">
        <v>4849.9994459999998</v>
      </c>
      <c r="X84">
        <v>1</v>
      </c>
      <c r="Y84">
        <v>0</v>
      </c>
    </row>
    <row r="85" spans="1:25" x14ac:dyDescent="0.3">
      <c r="A85" t="s">
        <v>107</v>
      </c>
      <c r="B85">
        <v>4719.9995220000001</v>
      </c>
      <c r="C85">
        <v>3.2293000000000002E-2</v>
      </c>
      <c r="E85">
        <v>1</v>
      </c>
      <c r="F85">
        <v>1</v>
      </c>
      <c r="G85">
        <v>1</v>
      </c>
      <c r="H85">
        <v>5</v>
      </c>
      <c r="J85">
        <v>0</v>
      </c>
      <c r="L85">
        <v>1358.428195</v>
      </c>
      <c r="N85">
        <v>85.834312999999995</v>
      </c>
      <c r="P85">
        <v>1272.5615889999999</v>
      </c>
      <c r="R85">
        <v>64721.999519999998</v>
      </c>
      <c r="S85">
        <v>64721.999519999998</v>
      </c>
      <c r="T85">
        <v>64721.999519999998</v>
      </c>
      <c r="U85">
        <v>60002</v>
      </c>
      <c r="V85">
        <v>4719.9995220000001</v>
      </c>
      <c r="W85">
        <v>4719.9995220000001</v>
      </c>
      <c r="X85">
        <v>2</v>
      </c>
      <c r="Y85">
        <v>2</v>
      </c>
    </row>
    <row r="86" spans="1:25" s="3" customFormat="1" x14ac:dyDescent="0.3">
      <c r="A86" s="3" t="s">
        <v>108</v>
      </c>
      <c r="B86" s="3">
        <v>4506.6667260000004</v>
      </c>
      <c r="C86" s="3">
        <v>2.0933E-2</v>
      </c>
      <c r="E86" s="3">
        <v>1</v>
      </c>
      <c r="F86" s="3">
        <v>1</v>
      </c>
      <c r="G86" s="3">
        <v>1</v>
      </c>
      <c r="H86" s="3">
        <v>8</v>
      </c>
      <c r="J86" s="3">
        <v>0</v>
      </c>
      <c r="L86" s="3">
        <v>2000.3356259999998</v>
      </c>
      <c r="N86" s="3">
        <v>168.789523</v>
      </c>
      <c r="P86" s="3">
        <v>1831.5251699999999</v>
      </c>
      <c r="R86" s="3">
        <v>64509.666729999997</v>
      </c>
      <c r="S86" s="3">
        <v>64509.666729999997</v>
      </c>
      <c r="T86" s="3">
        <v>64509.666729999997</v>
      </c>
      <c r="U86" s="3">
        <v>60003</v>
      </c>
      <c r="V86" s="3">
        <v>4506.6667260000004</v>
      </c>
      <c r="W86" s="3">
        <v>4506.6667260000004</v>
      </c>
      <c r="X86" s="3">
        <v>2</v>
      </c>
      <c r="Y86" s="3">
        <v>5</v>
      </c>
    </row>
    <row r="87" spans="1:25" s="4" customFormat="1" x14ac:dyDescent="0.3">
      <c r="A87" s="4" t="s">
        <v>109</v>
      </c>
      <c r="B87" s="4">
        <v>4519.9996709999996</v>
      </c>
      <c r="C87" s="4">
        <v>2.6318000000000001E-2</v>
      </c>
      <c r="E87" s="4">
        <v>1</v>
      </c>
      <c r="F87" s="4">
        <v>1</v>
      </c>
      <c r="G87" s="4">
        <v>1</v>
      </c>
      <c r="H87" s="4">
        <v>3</v>
      </c>
      <c r="J87" s="4">
        <v>0</v>
      </c>
      <c r="L87" s="4">
        <v>1588.0741089999999</v>
      </c>
      <c r="N87" s="4">
        <v>69.218352999999993</v>
      </c>
      <c r="P87" s="4">
        <v>1518.829438</v>
      </c>
      <c r="R87" s="4">
        <v>64521.99538</v>
      </c>
      <c r="S87" s="4">
        <v>64521.999669999997</v>
      </c>
      <c r="T87" s="4">
        <v>64521.999669999997</v>
      </c>
      <c r="U87" s="4">
        <v>60002</v>
      </c>
      <c r="V87" s="4">
        <v>4519.9996709999996</v>
      </c>
      <c r="W87" s="4">
        <v>4519.995379</v>
      </c>
      <c r="X87" s="4">
        <v>1</v>
      </c>
      <c r="Y87" s="4">
        <v>1</v>
      </c>
    </row>
    <row r="88" spans="1:25" s="3" customFormat="1" x14ac:dyDescent="0.3">
      <c r="A88" s="3" t="s">
        <v>95</v>
      </c>
      <c r="B88" s="3">
        <v>4610.000223</v>
      </c>
      <c r="C88" s="3">
        <v>2.7727000000000002E-2</v>
      </c>
      <c r="E88" s="3">
        <v>0</v>
      </c>
      <c r="F88" s="3">
        <v>1</v>
      </c>
      <c r="G88" s="3">
        <v>-1</v>
      </c>
      <c r="H88" s="3">
        <v>12</v>
      </c>
      <c r="J88" s="3">
        <v>1.1349999999999999E-3</v>
      </c>
      <c r="L88" s="3">
        <v>3600.0560720000003</v>
      </c>
      <c r="N88" s="3">
        <v>196.78481500000001</v>
      </c>
      <c r="P88" s="3">
        <v>3403.2435300000002</v>
      </c>
      <c r="R88" s="3">
        <v>64684.333379999996</v>
      </c>
      <c r="S88" s="3">
        <v>64611.000220000002</v>
      </c>
      <c r="T88" s="3">
        <v>64611.000220000002</v>
      </c>
      <c r="U88" s="3">
        <v>60001</v>
      </c>
      <c r="V88" s="3">
        <v>4610.000223</v>
      </c>
      <c r="W88" s="3">
        <v>-1</v>
      </c>
      <c r="X88" s="3">
        <v>0</v>
      </c>
      <c r="Y88" s="3">
        <v>10</v>
      </c>
    </row>
    <row r="89" spans="1:25" x14ac:dyDescent="0.3">
      <c r="A89" t="s">
        <v>96</v>
      </c>
      <c r="B89">
        <v>4849.9994459999998</v>
      </c>
      <c r="C89">
        <v>2.9021000000000002E-2</v>
      </c>
      <c r="E89">
        <v>0</v>
      </c>
      <c r="F89">
        <v>1</v>
      </c>
      <c r="G89">
        <v>-1</v>
      </c>
      <c r="H89">
        <v>11</v>
      </c>
      <c r="J89">
        <v>2.0599999999999999E-4</v>
      </c>
      <c r="L89">
        <v>3600.116321</v>
      </c>
      <c r="N89">
        <v>280.52920899999998</v>
      </c>
      <c r="P89">
        <v>3319.5580909999999</v>
      </c>
      <c r="R89">
        <v>64866.332750000001</v>
      </c>
      <c r="S89">
        <v>64852.999450000003</v>
      </c>
      <c r="T89">
        <v>64852.999450000003</v>
      </c>
      <c r="U89">
        <v>60003</v>
      </c>
      <c r="V89">
        <v>4849.9994459999998</v>
      </c>
      <c r="W89">
        <v>-1</v>
      </c>
      <c r="X89">
        <v>2</v>
      </c>
      <c r="Y89">
        <v>7</v>
      </c>
    </row>
    <row r="90" spans="1:25" x14ac:dyDescent="0.3">
      <c r="A90" t="s">
        <v>97</v>
      </c>
      <c r="B90">
        <v>4949.999452</v>
      </c>
      <c r="C90">
        <v>2.5686E-2</v>
      </c>
      <c r="E90">
        <v>0</v>
      </c>
      <c r="F90">
        <v>1</v>
      </c>
      <c r="G90">
        <v>-1</v>
      </c>
      <c r="H90">
        <v>4</v>
      </c>
      <c r="J90">
        <v>4.4499999999999997E-4</v>
      </c>
      <c r="L90">
        <v>3600.0411199999999</v>
      </c>
      <c r="N90">
        <v>2652.0254380000001</v>
      </c>
      <c r="P90">
        <v>947.98999600000002</v>
      </c>
      <c r="R90">
        <v>74984.332569999999</v>
      </c>
      <c r="S90">
        <v>74950.999450000003</v>
      </c>
      <c r="T90">
        <v>74950.999450000003</v>
      </c>
      <c r="U90">
        <v>70001</v>
      </c>
      <c r="V90">
        <v>4949.999452</v>
      </c>
      <c r="W90">
        <v>-1</v>
      </c>
      <c r="X90">
        <v>0</v>
      </c>
      <c r="Y90">
        <v>2</v>
      </c>
    </row>
    <row r="91" spans="1:25" s="1" customFormat="1" x14ac:dyDescent="0.3">
      <c r="A91" s="1" t="s">
        <v>98</v>
      </c>
      <c r="B91" s="1">
        <v>4373.3330969999997</v>
      </c>
      <c r="C91" s="1">
        <v>2.0146000000000001E-2</v>
      </c>
      <c r="E91" s="1">
        <v>0</v>
      </c>
      <c r="F91" s="1">
        <v>1</v>
      </c>
      <c r="G91" s="1">
        <v>-1</v>
      </c>
      <c r="H91" s="1">
        <v>2</v>
      </c>
      <c r="J91" s="1">
        <v>1.6130000000000001E-3</v>
      </c>
      <c r="L91" s="1">
        <v>3600.5275109999998</v>
      </c>
      <c r="N91" s="1">
        <v>3016.5433849999999</v>
      </c>
      <c r="P91" s="1">
        <v>583.96397999999999</v>
      </c>
      <c r="R91" s="1">
        <v>74494.332819999996</v>
      </c>
      <c r="S91" s="1">
        <v>74374.333100000003</v>
      </c>
      <c r="T91" s="1">
        <v>74374.333100000003</v>
      </c>
      <c r="U91" s="1">
        <v>70001</v>
      </c>
      <c r="V91" s="1">
        <v>4373.3330969999997</v>
      </c>
      <c r="W91" s="1">
        <v>-1</v>
      </c>
      <c r="X91" s="1">
        <v>0</v>
      </c>
      <c r="Y91" s="1">
        <v>0</v>
      </c>
    </row>
    <row r="92" spans="1:25" x14ac:dyDescent="0.3">
      <c r="A92" t="s">
        <v>185</v>
      </c>
      <c r="B92">
        <v>6159.9997039999998</v>
      </c>
      <c r="C92">
        <v>4.4375999999999999E-2</v>
      </c>
      <c r="D92">
        <v>3</v>
      </c>
      <c r="E92">
        <v>1</v>
      </c>
      <c r="F92">
        <v>1</v>
      </c>
      <c r="G92">
        <v>1</v>
      </c>
      <c r="H92">
        <v>1</v>
      </c>
      <c r="I92">
        <v>1</v>
      </c>
      <c r="J92">
        <v>0</v>
      </c>
      <c r="L92">
        <v>2019.4087019999999</v>
      </c>
      <c r="M92">
        <v>1905.7726899999998</v>
      </c>
      <c r="N92">
        <v>34.525624999999998</v>
      </c>
      <c r="O92">
        <v>26.146107999999998</v>
      </c>
      <c r="P92">
        <v>1984.8387009999999</v>
      </c>
      <c r="Q92">
        <v>1879.588825</v>
      </c>
      <c r="R92">
        <v>56160.9997</v>
      </c>
      <c r="S92">
        <v>56160.9997</v>
      </c>
      <c r="T92">
        <v>56160.9997</v>
      </c>
      <c r="U92">
        <v>50001</v>
      </c>
      <c r="V92">
        <v>6159.9997039999998</v>
      </c>
      <c r="W92">
        <v>6159.9997039999998</v>
      </c>
      <c r="X92">
        <v>0</v>
      </c>
      <c r="Y92">
        <v>0</v>
      </c>
    </row>
    <row r="93" spans="1:25" x14ac:dyDescent="0.3">
      <c r="A93" t="s">
        <v>186</v>
      </c>
      <c r="B93">
        <v>6119.9992899999997</v>
      </c>
      <c r="C93">
        <v>3.2737000000000002E-2</v>
      </c>
      <c r="E93">
        <v>1</v>
      </c>
      <c r="F93">
        <v>1</v>
      </c>
      <c r="G93">
        <v>1</v>
      </c>
      <c r="H93">
        <v>1</v>
      </c>
      <c r="J93">
        <v>0</v>
      </c>
      <c r="L93">
        <v>2138.595695</v>
      </c>
      <c r="N93">
        <v>30.305966999999999</v>
      </c>
      <c r="P93">
        <v>2108.2569910000002</v>
      </c>
      <c r="R93">
        <v>46122.999129999997</v>
      </c>
      <c r="S93">
        <v>46122.99929</v>
      </c>
      <c r="T93">
        <v>46122.99929</v>
      </c>
      <c r="U93">
        <v>40003</v>
      </c>
      <c r="V93">
        <v>6119.9992899999997</v>
      </c>
      <c r="W93">
        <v>6119.9991259999997</v>
      </c>
      <c r="X93">
        <v>0</v>
      </c>
      <c r="Y93">
        <v>0</v>
      </c>
    </row>
    <row r="94" spans="1:25" s="2" customFormat="1" x14ac:dyDescent="0.3">
      <c r="A94" s="2" t="s">
        <v>172</v>
      </c>
      <c r="B94" s="2">
        <v>6159.9999610000004</v>
      </c>
      <c r="C94" s="2">
        <v>3.6158000000000003E-2</v>
      </c>
      <c r="E94" s="2">
        <v>1</v>
      </c>
      <c r="F94" s="2">
        <v>1</v>
      </c>
      <c r="G94" s="2">
        <v>1</v>
      </c>
      <c r="H94" s="2">
        <v>1</v>
      </c>
      <c r="J94" s="2">
        <v>0</v>
      </c>
      <c r="L94" s="2">
        <v>1559.3136730000001</v>
      </c>
      <c r="N94" s="2">
        <v>13.606731999999999</v>
      </c>
      <c r="P94" s="2">
        <v>1545.670783</v>
      </c>
      <c r="R94" s="2">
        <v>46160.999629999998</v>
      </c>
      <c r="S94" s="2">
        <v>46160.999960000001</v>
      </c>
      <c r="T94" s="2">
        <v>46160.999960000001</v>
      </c>
      <c r="U94" s="2">
        <v>40001</v>
      </c>
      <c r="V94" s="2">
        <v>6159.9999610000004</v>
      </c>
      <c r="W94" s="2">
        <v>6159.9996250000004</v>
      </c>
      <c r="X94" s="2">
        <v>0</v>
      </c>
      <c r="Y94" s="2">
        <v>0</v>
      </c>
    </row>
    <row r="95" spans="1:25" x14ac:dyDescent="0.3">
      <c r="A95" t="s">
        <v>170</v>
      </c>
      <c r="B95">
        <v>6159.9994360000001</v>
      </c>
      <c r="C95">
        <v>3.4613999999999999E-2</v>
      </c>
      <c r="E95">
        <v>0</v>
      </c>
      <c r="F95">
        <v>1</v>
      </c>
      <c r="G95">
        <v>-1</v>
      </c>
      <c r="H95">
        <v>1</v>
      </c>
      <c r="J95">
        <v>-1</v>
      </c>
      <c r="K95">
        <v>1.7704999999999999E-2</v>
      </c>
      <c r="L95">
        <v>3600.8589309999998</v>
      </c>
      <c r="N95">
        <v>268.006212</v>
      </c>
      <c r="P95">
        <v>3332.8181049999998</v>
      </c>
      <c r="R95">
        <v>100000</v>
      </c>
      <c r="S95">
        <v>56160.99944</v>
      </c>
      <c r="T95">
        <v>56160.99944</v>
      </c>
      <c r="U95">
        <v>50001</v>
      </c>
      <c r="V95">
        <v>6159.9994360000001</v>
      </c>
      <c r="W95">
        <v>-1</v>
      </c>
      <c r="X95">
        <v>-1</v>
      </c>
      <c r="Y95">
        <v>0</v>
      </c>
    </row>
    <row r="96" spans="1:25" x14ac:dyDescent="0.3">
      <c r="A96" t="s">
        <v>171</v>
      </c>
      <c r="B96">
        <v>6149.9999850000004</v>
      </c>
      <c r="C96">
        <v>3.3987999999999997E-2</v>
      </c>
      <c r="E96">
        <v>0</v>
      </c>
      <c r="F96">
        <v>1</v>
      </c>
      <c r="G96">
        <v>-1</v>
      </c>
      <c r="H96">
        <v>1</v>
      </c>
      <c r="J96">
        <v>-1</v>
      </c>
      <c r="L96">
        <v>3600.535284</v>
      </c>
      <c r="N96">
        <v>28.770464</v>
      </c>
      <c r="P96">
        <v>3571.7308320000002</v>
      </c>
      <c r="R96">
        <v>100000</v>
      </c>
      <c r="S96">
        <v>46152.999989999997</v>
      </c>
      <c r="T96">
        <v>46152.999989999997</v>
      </c>
      <c r="U96">
        <v>40003</v>
      </c>
      <c r="V96">
        <v>6149.9999850000004</v>
      </c>
      <c r="W96">
        <v>-1</v>
      </c>
      <c r="X96">
        <v>-1</v>
      </c>
      <c r="Y96">
        <v>0</v>
      </c>
    </row>
    <row r="97" spans="1:25" x14ac:dyDescent="0.3">
      <c r="A97" t="s">
        <v>173</v>
      </c>
      <c r="B97">
        <v>6079.99953</v>
      </c>
      <c r="C97">
        <v>3.4293999999999998E-2</v>
      </c>
      <c r="E97">
        <v>0</v>
      </c>
      <c r="F97">
        <v>1</v>
      </c>
      <c r="G97">
        <v>-1</v>
      </c>
      <c r="H97">
        <v>1</v>
      </c>
      <c r="J97">
        <v>-1</v>
      </c>
      <c r="L97">
        <v>3600.9085480000003</v>
      </c>
      <c r="N97">
        <v>17.76031</v>
      </c>
      <c r="P97">
        <v>3583.1139440000002</v>
      </c>
      <c r="R97">
        <v>100000</v>
      </c>
      <c r="S97">
        <v>46081.999530000001</v>
      </c>
      <c r="T97">
        <v>46081.999530000001</v>
      </c>
      <c r="U97">
        <v>40002</v>
      </c>
      <c r="V97">
        <v>6079.99953</v>
      </c>
      <c r="W97">
        <v>-1</v>
      </c>
      <c r="X97">
        <v>-1</v>
      </c>
      <c r="Y97">
        <v>0</v>
      </c>
    </row>
    <row r="98" spans="1:25" x14ac:dyDescent="0.3">
      <c r="A98" t="s">
        <v>174</v>
      </c>
      <c r="B98">
        <v>6539.9992110000003</v>
      </c>
      <c r="C98">
        <v>7.4966000000000005E-2</v>
      </c>
      <c r="E98">
        <v>0</v>
      </c>
      <c r="F98">
        <v>1</v>
      </c>
      <c r="G98">
        <v>-1</v>
      </c>
      <c r="H98">
        <v>1</v>
      </c>
      <c r="J98">
        <v>-1</v>
      </c>
      <c r="L98">
        <v>3602.9215539999996</v>
      </c>
      <c r="N98">
        <v>734.58084799999995</v>
      </c>
      <c r="P98">
        <v>2868.2657399999998</v>
      </c>
      <c r="R98">
        <v>100000</v>
      </c>
      <c r="S98">
        <v>56540.999210000002</v>
      </c>
      <c r="T98">
        <v>56540.999210000002</v>
      </c>
      <c r="U98">
        <v>50001</v>
      </c>
      <c r="V98">
        <v>6539.9992110000003</v>
      </c>
      <c r="W98">
        <v>-1</v>
      </c>
      <c r="X98">
        <v>-1</v>
      </c>
      <c r="Y98">
        <v>0</v>
      </c>
    </row>
    <row r="99" spans="1:25" x14ac:dyDescent="0.3">
      <c r="A99" t="s">
        <v>175</v>
      </c>
      <c r="B99">
        <v>6250</v>
      </c>
      <c r="C99">
        <v>3.1281000000000003E-2</v>
      </c>
      <c r="E99">
        <v>0</v>
      </c>
      <c r="F99">
        <v>1</v>
      </c>
      <c r="G99">
        <v>-1</v>
      </c>
      <c r="H99">
        <v>1</v>
      </c>
      <c r="J99">
        <v>-1</v>
      </c>
      <c r="L99">
        <v>3603.3962069999998</v>
      </c>
      <c r="N99">
        <v>13.932509</v>
      </c>
      <c r="P99">
        <v>3589.432417</v>
      </c>
      <c r="R99">
        <v>100000</v>
      </c>
      <c r="S99">
        <v>46251</v>
      </c>
      <c r="T99">
        <v>46251</v>
      </c>
      <c r="U99">
        <v>40001</v>
      </c>
      <c r="V99">
        <v>6250</v>
      </c>
      <c r="W99">
        <v>-1</v>
      </c>
      <c r="X99">
        <v>-1</v>
      </c>
      <c r="Y99">
        <v>0</v>
      </c>
    </row>
    <row r="100" spans="1:25" x14ac:dyDescent="0.3">
      <c r="A100" t="s">
        <v>176</v>
      </c>
      <c r="B100">
        <v>6239.9997350000003</v>
      </c>
      <c r="C100">
        <v>3.4315999999999999E-2</v>
      </c>
      <c r="E100">
        <v>0</v>
      </c>
      <c r="F100">
        <v>1</v>
      </c>
      <c r="G100">
        <v>-1</v>
      </c>
      <c r="H100">
        <v>1</v>
      </c>
      <c r="J100">
        <v>-1</v>
      </c>
      <c r="L100">
        <v>3600.402204</v>
      </c>
      <c r="N100">
        <v>51.246988999999999</v>
      </c>
      <c r="P100">
        <v>3549.120899</v>
      </c>
      <c r="R100">
        <v>100000</v>
      </c>
      <c r="S100">
        <v>56240.999739999999</v>
      </c>
      <c r="T100">
        <v>56240.999739999999</v>
      </c>
      <c r="U100">
        <v>50001</v>
      </c>
      <c r="V100">
        <v>6239.9997350000003</v>
      </c>
      <c r="W100">
        <v>-1</v>
      </c>
      <c r="X100">
        <v>-1</v>
      </c>
      <c r="Y100">
        <v>0</v>
      </c>
    </row>
    <row r="101" spans="1:25" x14ac:dyDescent="0.3">
      <c r="A101" t="s">
        <v>177</v>
      </c>
      <c r="B101">
        <v>5999.9993919999997</v>
      </c>
      <c r="C101">
        <v>3.3742000000000001E-2</v>
      </c>
      <c r="E101">
        <v>0</v>
      </c>
      <c r="F101">
        <v>1</v>
      </c>
      <c r="G101">
        <v>-1</v>
      </c>
      <c r="H101">
        <v>1</v>
      </c>
      <c r="J101">
        <v>-1</v>
      </c>
      <c r="L101">
        <v>3601.0863139999997</v>
      </c>
      <c r="N101">
        <v>29.389019000000001</v>
      </c>
      <c r="P101">
        <v>3571.6635529999999</v>
      </c>
      <c r="R101">
        <v>100000</v>
      </c>
      <c r="S101">
        <v>46001.999389999997</v>
      </c>
      <c r="T101">
        <v>46001.999389999997</v>
      </c>
      <c r="U101">
        <v>40002</v>
      </c>
      <c r="V101">
        <v>5999.9993919999997</v>
      </c>
      <c r="W101">
        <v>-1</v>
      </c>
      <c r="X101">
        <v>-1</v>
      </c>
      <c r="Y101">
        <v>0</v>
      </c>
    </row>
    <row r="102" spans="1:25" x14ac:dyDescent="0.3">
      <c r="A102" t="s">
        <v>178</v>
      </c>
      <c r="B102">
        <v>6039.9997530000001</v>
      </c>
      <c r="C102">
        <v>3.3119000000000003E-2</v>
      </c>
      <c r="E102">
        <v>0</v>
      </c>
      <c r="F102">
        <v>1</v>
      </c>
      <c r="G102">
        <v>-1</v>
      </c>
      <c r="H102">
        <v>1</v>
      </c>
      <c r="J102">
        <v>-1</v>
      </c>
      <c r="L102">
        <v>3600.3270150000003</v>
      </c>
      <c r="N102">
        <v>15.113637000000001</v>
      </c>
      <c r="P102">
        <v>3585.1802590000002</v>
      </c>
      <c r="R102">
        <v>100000</v>
      </c>
      <c r="S102">
        <v>46041.999750000003</v>
      </c>
      <c r="T102">
        <v>46041.999750000003</v>
      </c>
      <c r="U102">
        <v>40002</v>
      </c>
      <c r="V102">
        <v>6039.9997530000001</v>
      </c>
      <c r="W102">
        <v>-1</v>
      </c>
      <c r="X102">
        <v>-1</v>
      </c>
      <c r="Y102">
        <v>0</v>
      </c>
    </row>
    <row r="103" spans="1:25" x14ac:dyDescent="0.3">
      <c r="A103" t="s">
        <v>179</v>
      </c>
      <c r="B103">
        <v>6499.9992549999997</v>
      </c>
      <c r="C103">
        <v>4.2979999999999997E-2</v>
      </c>
      <c r="E103">
        <v>0</v>
      </c>
      <c r="F103">
        <v>1</v>
      </c>
      <c r="G103">
        <v>-1</v>
      </c>
      <c r="H103">
        <v>1</v>
      </c>
      <c r="J103">
        <v>-1</v>
      </c>
      <c r="L103">
        <v>3601.3518760000002</v>
      </c>
      <c r="N103">
        <v>62.029909000000004</v>
      </c>
      <c r="P103">
        <v>3539.2789870000001</v>
      </c>
      <c r="R103">
        <v>100000</v>
      </c>
      <c r="S103">
        <v>46500.999259999997</v>
      </c>
      <c r="T103">
        <v>46500.999259999997</v>
      </c>
      <c r="U103">
        <v>40001</v>
      </c>
      <c r="V103">
        <v>6499.9992549999997</v>
      </c>
      <c r="W103">
        <v>-1</v>
      </c>
      <c r="X103">
        <v>-1</v>
      </c>
      <c r="Y103">
        <v>0</v>
      </c>
    </row>
    <row r="104" spans="1:25" x14ac:dyDescent="0.3">
      <c r="A104" t="s">
        <v>180</v>
      </c>
      <c r="B104">
        <v>6539.9992110000003</v>
      </c>
      <c r="C104">
        <v>4.2341999999999998E-2</v>
      </c>
      <c r="E104">
        <v>0</v>
      </c>
      <c r="F104">
        <v>1</v>
      </c>
      <c r="G104">
        <v>-1</v>
      </c>
      <c r="H104">
        <v>1</v>
      </c>
      <c r="J104">
        <v>-1</v>
      </c>
      <c r="L104">
        <v>3601.4442820000004</v>
      </c>
      <c r="N104">
        <v>29.329823000000001</v>
      </c>
      <c r="P104">
        <v>3572.0721170000002</v>
      </c>
      <c r="R104">
        <v>100000</v>
      </c>
      <c r="S104">
        <v>46541.999210000002</v>
      </c>
      <c r="T104">
        <v>46541.999210000002</v>
      </c>
      <c r="U104">
        <v>40002</v>
      </c>
      <c r="V104">
        <v>6539.9992110000003</v>
      </c>
      <c r="W104">
        <v>-1</v>
      </c>
      <c r="X104">
        <v>-1</v>
      </c>
      <c r="Y104">
        <v>0</v>
      </c>
    </row>
    <row r="105" spans="1:25" x14ac:dyDescent="0.3">
      <c r="A105" t="s">
        <v>181</v>
      </c>
      <c r="B105">
        <v>6480.000043</v>
      </c>
      <c r="C105">
        <v>3.1158000000000002E-2</v>
      </c>
      <c r="E105">
        <v>0</v>
      </c>
      <c r="F105">
        <v>1</v>
      </c>
      <c r="G105">
        <v>-1</v>
      </c>
      <c r="H105">
        <v>2</v>
      </c>
      <c r="J105">
        <v>1.7704999999999999E-2</v>
      </c>
      <c r="L105">
        <v>3600.062535</v>
      </c>
      <c r="N105">
        <v>75.082814999999997</v>
      </c>
      <c r="P105">
        <v>3524.948562</v>
      </c>
      <c r="R105">
        <v>57481.000189999999</v>
      </c>
      <c r="S105">
        <v>56481.000039999999</v>
      </c>
      <c r="T105">
        <v>56481.000039999999</v>
      </c>
      <c r="U105">
        <v>50001</v>
      </c>
      <c r="V105">
        <v>6480.000043</v>
      </c>
      <c r="W105">
        <v>-1</v>
      </c>
      <c r="X105">
        <v>0</v>
      </c>
      <c r="Y105">
        <v>0</v>
      </c>
    </row>
    <row r="106" spans="1:25" x14ac:dyDescent="0.3">
      <c r="A106" t="s">
        <v>182</v>
      </c>
      <c r="B106">
        <v>6519.9997899999998</v>
      </c>
      <c r="C106">
        <v>7.6162999999999995E-2</v>
      </c>
      <c r="E106">
        <v>0</v>
      </c>
      <c r="F106">
        <v>1</v>
      </c>
      <c r="G106">
        <v>-1</v>
      </c>
      <c r="H106">
        <v>1</v>
      </c>
      <c r="J106">
        <v>-1</v>
      </c>
      <c r="L106">
        <v>3602.215827</v>
      </c>
      <c r="N106">
        <v>25.81352</v>
      </c>
      <c r="P106">
        <v>3576.3261440000001</v>
      </c>
      <c r="R106">
        <v>100000</v>
      </c>
      <c r="S106">
        <v>46521.999790000002</v>
      </c>
      <c r="T106">
        <v>46521.999790000002</v>
      </c>
      <c r="U106">
        <v>40002</v>
      </c>
      <c r="V106">
        <v>6519.9997899999998</v>
      </c>
      <c r="W106">
        <v>-1</v>
      </c>
      <c r="X106">
        <v>-1</v>
      </c>
      <c r="Y106">
        <v>0</v>
      </c>
    </row>
    <row r="107" spans="1:25" x14ac:dyDescent="0.3">
      <c r="A107" t="s">
        <v>183</v>
      </c>
      <c r="B107">
        <v>6519.9999809999999</v>
      </c>
      <c r="C107">
        <v>3.8752000000000002E-2</v>
      </c>
      <c r="E107">
        <v>0</v>
      </c>
      <c r="F107">
        <v>1</v>
      </c>
      <c r="G107">
        <v>-1</v>
      </c>
      <c r="H107">
        <v>1</v>
      </c>
      <c r="J107">
        <v>-1</v>
      </c>
      <c r="L107">
        <v>3601.6465159999998</v>
      </c>
      <c r="N107">
        <v>28.028554</v>
      </c>
      <c r="P107">
        <v>3573.5792099999999</v>
      </c>
      <c r="R107">
        <v>100000</v>
      </c>
      <c r="S107">
        <v>46521.999980000001</v>
      </c>
      <c r="T107">
        <v>46521.999980000001</v>
      </c>
      <c r="U107">
        <v>40002</v>
      </c>
      <c r="V107">
        <v>6519.9999809999999</v>
      </c>
      <c r="W107">
        <v>-1</v>
      </c>
      <c r="X107">
        <v>-1</v>
      </c>
      <c r="Y107">
        <v>0</v>
      </c>
    </row>
    <row r="108" spans="1:25" x14ac:dyDescent="0.3">
      <c r="A108" t="s">
        <v>184</v>
      </c>
      <c r="B108">
        <v>6159.9995200000003</v>
      </c>
      <c r="C108">
        <v>3.4773999999999999E-2</v>
      </c>
      <c r="E108">
        <v>0</v>
      </c>
      <c r="F108">
        <v>1</v>
      </c>
      <c r="G108">
        <v>-1</v>
      </c>
      <c r="H108">
        <v>1</v>
      </c>
      <c r="J108">
        <v>-1</v>
      </c>
      <c r="L108">
        <v>3600.204624</v>
      </c>
      <c r="N108">
        <v>14.100135</v>
      </c>
      <c r="P108">
        <v>3586.0697150000001</v>
      </c>
      <c r="R108">
        <v>100000</v>
      </c>
      <c r="S108">
        <v>46161.999519999998</v>
      </c>
      <c r="T108">
        <v>46161.999519999998</v>
      </c>
      <c r="U108">
        <v>40002</v>
      </c>
      <c r="V108">
        <v>6159.9995200000003</v>
      </c>
      <c r="W108">
        <v>-1</v>
      </c>
      <c r="X108">
        <v>-1</v>
      </c>
      <c r="Y108">
        <v>0</v>
      </c>
    </row>
    <row r="109" spans="1:25" x14ac:dyDescent="0.3">
      <c r="A109" t="s">
        <v>187</v>
      </c>
      <c r="B109">
        <v>6150.0007329999999</v>
      </c>
      <c r="C109">
        <v>4.0846E-2</v>
      </c>
      <c r="E109">
        <v>0</v>
      </c>
      <c r="F109">
        <v>1</v>
      </c>
      <c r="G109">
        <v>-1</v>
      </c>
      <c r="H109">
        <v>1</v>
      </c>
      <c r="J109">
        <v>-1</v>
      </c>
      <c r="L109">
        <v>3600.498063</v>
      </c>
      <c r="N109">
        <v>23.173109</v>
      </c>
      <c r="P109">
        <v>3577.2841079999998</v>
      </c>
      <c r="R109">
        <v>100000</v>
      </c>
      <c r="S109">
        <v>46151.00073</v>
      </c>
      <c r="T109">
        <v>46151.00073</v>
      </c>
      <c r="U109">
        <v>40001</v>
      </c>
      <c r="V109">
        <v>6150.0007329999999</v>
      </c>
      <c r="W109">
        <v>-1</v>
      </c>
      <c r="X109">
        <v>-1</v>
      </c>
      <c r="Y109">
        <v>0</v>
      </c>
    </row>
    <row r="110" spans="1:25" x14ac:dyDescent="0.3">
      <c r="A110" t="s">
        <v>188</v>
      </c>
      <c r="B110">
        <v>6149.9999760000001</v>
      </c>
      <c r="C110">
        <v>3.4938999999999998E-2</v>
      </c>
      <c r="E110">
        <v>0</v>
      </c>
      <c r="F110">
        <v>1</v>
      </c>
      <c r="G110">
        <v>-1</v>
      </c>
      <c r="H110">
        <v>1</v>
      </c>
      <c r="J110">
        <v>-1</v>
      </c>
      <c r="L110">
        <v>3600.6704599999998</v>
      </c>
      <c r="N110">
        <v>37.637326999999999</v>
      </c>
      <c r="P110">
        <v>3562.9981939999998</v>
      </c>
      <c r="R110">
        <v>100000</v>
      </c>
      <c r="S110">
        <v>46151.999980000001</v>
      </c>
      <c r="T110">
        <v>46151.999980000001</v>
      </c>
      <c r="U110">
        <v>40002</v>
      </c>
      <c r="V110">
        <v>6149.9999760000001</v>
      </c>
      <c r="W110">
        <v>-1</v>
      </c>
      <c r="X110">
        <v>-1</v>
      </c>
      <c r="Y110">
        <v>0</v>
      </c>
    </row>
    <row r="111" spans="1:25" x14ac:dyDescent="0.3">
      <c r="A111" t="s">
        <v>189</v>
      </c>
      <c r="B111">
        <v>6129.9999589999998</v>
      </c>
      <c r="C111">
        <v>4.2716999999999998E-2</v>
      </c>
      <c r="E111">
        <v>0</v>
      </c>
      <c r="F111">
        <v>1</v>
      </c>
      <c r="G111">
        <v>-1</v>
      </c>
      <c r="H111">
        <v>1</v>
      </c>
      <c r="J111">
        <v>-1</v>
      </c>
      <c r="L111">
        <v>3601.234332</v>
      </c>
      <c r="N111">
        <v>30.613233000000001</v>
      </c>
      <c r="P111">
        <v>3570.5783820000001</v>
      </c>
      <c r="R111">
        <v>100000</v>
      </c>
      <c r="S111">
        <v>46131.999960000001</v>
      </c>
      <c r="T111">
        <v>46131.999960000001</v>
      </c>
      <c r="U111">
        <v>40002</v>
      </c>
      <c r="V111">
        <v>6129.9999589999998</v>
      </c>
      <c r="W111">
        <v>-1</v>
      </c>
      <c r="X111">
        <v>-1</v>
      </c>
      <c r="Y111">
        <v>0</v>
      </c>
    </row>
    <row r="112" spans="1:25" x14ac:dyDescent="0.3">
      <c r="A112" t="s">
        <v>190</v>
      </c>
      <c r="B112">
        <v>6219.9998969999997</v>
      </c>
      <c r="C112">
        <v>0.104251</v>
      </c>
      <c r="E112">
        <v>0</v>
      </c>
      <c r="F112">
        <v>1</v>
      </c>
      <c r="G112">
        <v>-1</v>
      </c>
      <c r="H112">
        <v>1</v>
      </c>
      <c r="J112">
        <v>-1</v>
      </c>
      <c r="L112">
        <v>3601.0997320000001</v>
      </c>
      <c r="N112">
        <v>51.192946999999997</v>
      </c>
      <c r="P112">
        <v>3549.8025339999999</v>
      </c>
      <c r="R112">
        <v>100000</v>
      </c>
      <c r="S112">
        <v>46221.999900000003</v>
      </c>
      <c r="T112">
        <v>46221.999900000003</v>
      </c>
      <c r="U112">
        <v>40002</v>
      </c>
      <c r="V112">
        <v>6219.9998969999997</v>
      </c>
      <c r="W112">
        <v>-1</v>
      </c>
      <c r="X112">
        <v>-1</v>
      </c>
      <c r="Y112">
        <v>0</v>
      </c>
    </row>
    <row r="113" spans="1:25" x14ac:dyDescent="0.3">
      <c r="A113" t="s">
        <v>191</v>
      </c>
      <c r="B113">
        <v>6160.0000559999999</v>
      </c>
      <c r="C113">
        <v>4.7979000000000001E-2</v>
      </c>
      <c r="E113">
        <v>0</v>
      </c>
      <c r="F113">
        <v>1</v>
      </c>
      <c r="G113">
        <v>-1</v>
      </c>
      <c r="H113">
        <v>1</v>
      </c>
      <c r="J113">
        <v>-1</v>
      </c>
      <c r="L113">
        <v>3602.1757430000002</v>
      </c>
      <c r="N113">
        <v>953.15721199999996</v>
      </c>
      <c r="P113">
        <v>2648.9705520000002</v>
      </c>
      <c r="R113">
        <v>100000</v>
      </c>
      <c r="S113">
        <v>56161.000059999998</v>
      </c>
      <c r="T113">
        <v>56161.000059999998</v>
      </c>
      <c r="U113">
        <v>50001</v>
      </c>
      <c r="V113">
        <v>6160.0000559999999</v>
      </c>
      <c r="W113">
        <v>-1</v>
      </c>
      <c r="X113">
        <v>-1</v>
      </c>
      <c r="Y113">
        <v>0</v>
      </c>
    </row>
    <row r="114" spans="1:25" x14ac:dyDescent="0.3">
      <c r="A114" t="s">
        <v>192</v>
      </c>
      <c r="B114">
        <v>6539.999992</v>
      </c>
      <c r="C114">
        <v>3.5694999999999998E-2</v>
      </c>
      <c r="E114">
        <v>0</v>
      </c>
      <c r="F114">
        <v>1</v>
      </c>
      <c r="G114">
        <v>-1</v>
      </c>
      <c r="H114">
        <v>1</v>
      </c>
      <c r="J114">
        <v>-1</v>
      </c>
      <c r="L114">
        <v>3601.2848009999998</v>
      </c>
      <c r="N114">
        <v>308.803944</v>
      </c>
      <c r="P114">
        <v>3292.445162</v>
      </c>
      <c r="R114">
        <v>100000</v>
      </c>
      <c r="S114">
        <v>56540.999989999997</v>
      </c>
      <c r="T114">
        <v>56540.999989999997</v>
      </c>
      <c r="U114">
        <v>50001</v>
      </c>
      <c r="V114">
        <v>6539.999992</v>
      </c>
      <c r="W114">
        <v>-1</v>
      </c>
      <c r="X114">
        <v>-1</v>
      </c>
      <c r="Y114">
        <v>0</v>
      </c>
    </row>
    <row r="115" spans="1:25" x14ac:dyDescent="0.3">
      <c r="A115" t="s">
        <v>193</v>
      </c>
      <c r="B115">
        <v>6169.9997720000001</v>
      </c>
      <c r="C115">
        <v>4.0946000000000003E-2</v>
      </c>
      <c r="E115">
        <v>0</v>
      </c>
      <c r="F115">
        <v>1</v>
      </c>
      <c r="G115">
        <v>-1</v>
      </c>
      <c r="H115">
        <v>1</v>
      </c>
      <c r="J115">
        <v>-1</v>
      </c>
      <c r="L115">
        <v>3600.8055259999996</v>
      </c>
      <c r="N115">
        <v>71.278861000000006</v>
      </c>
      <c r="P115">
        <v>3529.4857189999998</v>
      </c>
      <c r="R115">
        <v>100000</v>
      </c>
      <c r="S115">
        <v>56170.999770000002</v>
      </c>
      <c r="T115">
        <v>56170.999770000002</v>
      </c>
      <c r="U115">
        <v>50001</v>
      </c>
      <c r="V115">
        <v>6169.9997720000001</v>
      </c>
      <c r="W115">
        <v>-1</v>
      </c>
      <c r="X115">
        <v>-1</v>
      </c>
      <c r="Y115">
        <v>0</v>
      </c>
    </row>
    <row r="116" spans="1:25" x14ac:dyDescent="0.3">
      <c r="A116" t="s">
        <v>194</v>
      </c>
      <c r="B116">
        <v>6169.9993130000003</v>
      </c>
      <c r="C116">
        <v>4.7849999999999997E-2</v>
      </c>
      <c r="E116">
        <v>0</v>
      </c>
      <c r="F116">
        <v>1</v>
      </c>
      <c r="G116">
        <v>-1</v>
      </c>
      <c r="H116">
        <v>1</v>
      </c>
      <c r="J116">
        <v>-1</v>
      </c>
      <c r="L116">
        <v>3602.3245649999999</v>
      </c>
      <c r="N116">
        <v>30.406198</v>
      </c>
      <c r="P116">
        <v>3571.8705169999998</v>
      </c>
      <c r="R116">
        <v>100000</v>
      </c>
      <c r="S116">
        <v>46171.999309999999</v>
      </c>
      <c r="T116">
        <v>46171.999309999999</v>
      </c>
      <c r="U116">
        <v>40002</v>
      </c>
      <c r="V116">
        <v>6169.9993130000003</v>
      </c>
      <c r="W116">
        <v>-1</v>
      </c>
      <c r="X116">
        <v>-1</v>
      </c>
      <c r="Y116">
        <v>0</v>
      </c>
    </row>
    <row r="117" spans="1:25" x14ac:dyDescent="0.3">
      <c r="A117" t="s">
        <v>195</v>
      </c>
      <c r="B117">
        <v>6039.9997530000001</v>
      </c>
      <c r="C117">
        <v>4.0253999999999998E-2</v>
      </c>
      <c r="E117">
        <v>0</v>
      </c>
      <c r="F117">
        <v>1</v>
      </c>
      <c r="G117">
        <v>-1</v>
      </c>
      <c r="H117">
        <v>1</v>
      </c>
      <c r="J117">
        <v>-1</v>
      </c>
      <c r="L117">
        <v>3600.4849010000003</v>
      </c>
      <c r="N117">
        <v>25.832599999999999</v>
      </c>
      <c r="P117">
        <v>3574.6120470000001</v>
      </c>
      <c r="R117">
        <v>100000</v>
      </c>
      <c r="S117">
        <v>46041.999750000003</v>
      </c>
      <c r="T117">
        <v>46041.999750000003</v>
      </c>
      <c r="U117">
        <v>40002</v>
      </c>
      <c r="V117">
        <v>6039.9997530000001</v>
      </c>
      <c r="W117">
        <v>-1</v>
      </c>
      <c r="X117">
        <v>-1</v>
      </c>
      <c r="Y117">
        <v>0</v>
      </c>
    </row>
    <row r="118" spans="1:25" x14ac:dyDescent="0.3">
      <c r="A118" t="s">
        <v>196</v>
      </c>
      <c r="B118">
        <v>6090.0001590000002</v>
      </c>
      <c r="C118">
        <v>3.9364000000000003E-2</v>
      </c>
      <c r="E118">
        <v>0</v>
      </c>
      <c r="F118">
        <v>1</v>
      </c>
      <c r="G118">
        <v>-1</v>
      </c>
      <c r="H118">
        <v>1</v>
      </c>
      <c r="J118">
        <v>-1</v>
      </c>
      <c r="L118">
        <v>3600.7699520000001</v>
      </c>
      <c r="N118">
        <v>17.230867</v>
      </c>
      <c r="P118">
        <v>3583.4997210000001</v>
      </c>
      <c r="R118">
        <v>100000</v>
      </c>
      <c r="S118">
        <v>46091.000160000003</v>
      </c>
      <c r="T118">
        <v>46091.000160000003</v>
      </c>
      <c r="U118">
        <v>40001</v>
      </c>
      <c r="V118">
        <v>6090.0001590000002</v>
      </c>
      <c r="W118">
        <v>-1</v>
      </c>
      <c r="X118">
        <v>-1</v>
      </c>
      <c r="Y118">
        <v>0</v>
      </c>
    </row>
    <row r="119" spans="1:25" x14ac:dyDescent="0.3">
      <c r="A119" t="s">
        <v>197</v>
      </c>
      <c r="B119">
        <v>6149.9995650000001</v>
      </c>
      <c r="C119">
        <v>4.1146000000000002E-2</v>
      </c>
      <c r="E119">
        <v>0</v>
      </c>
      <c r="F119">
        <v>1</v>
      </c>
      <c r="G119">
        <v>-1</v>
      </c>
      <c r="H119">
        <v>1</v>
      </c>
      <c r="J119">
        <v>-1</v>
      </c>
      <c r="L119">
        <v>3601.0083930000001</v>
      </c>
      <c r="N119">
        <v>31.437456000000001</v>
      </c>
      <c r="P119">
        <v>3569.5297909999999</v>
      </c>
      <c r="R119">
        <v>100000</v>
      </c>
      <c r="S119">
        <v>56150.99957</v>
      </c>
      <c r="T119">
        <v>56150.99957</v>
      </c>
      <c r="U119">
        <v>50001</v>
      </c>
      <c r="V119">
        <v>6149.9995650000001</v>
      </c>
      <c r="W119">
        <v>-1</v>
      </c>
      <c r="X119">
        <v>-1</v>
      </c>
      <c r="Y119">
        <v>0</v>
      </c>
    </row>
    <row r="120" spans="1:25" x14ac:dyDescent="0.3">
      <c r="A120" t="s">
        <v>198</v>
      </c>
      <c r="B120">
        <v>6559.99946</v>
      </c>
      <c r="C120">
        <v>3.4585999999999999E-2</v>
      </c>
      <c r="E120">
        <v>0</v>
      </c>
      <c r="F120">
        <v>1</v>
      </c>
      <c r="G120">
        <v>-1</v>
      </c>
      <c r="H120">
        <v>1</v>
      </c>
      <c r="J120">
        <v>-1</v>
      </c>
      <c r="L120">
        <v>3601.096098</v>
      </c>
      <c r="N120">
        <v>6.1196520000000003</v>
      </c>
      <c r="P120">
        <v>3594.9418599999999</v>
      </c>
      <c r="R120">
        <v>100000</v>
      </c>
      <c r="S120">
        <v>36561.999459999999</v>
      </c>
      <c r="T120">
        <v>36561.999459999999</v>
      </c>
      <c r="U120">
        <v>30002</v>
      </c>
      <c r="V120">
        <v>6559.99946</v>
      </c>
      <c r="W120">
        <v>-1</v>
      </c>
      <c r="X120">
        <v>-1</v>
      </c>
      <c r="Y120">
        <v>0</v>
      </c>
    </row>
    <row r="121" spans="1:25" s="1" customFormat="1" x14ac:dyDescent="0.3">
      <c r="A121" s="1" t="s">
        <v>199</v>
      </c>
      <c r="B121" s="1">
        <v>6159.9997039999998</v>
      </c>
      <c r="C121" s="1">
        <v>3.9417000000000001E-2</v>
      </c>
      <c r="E121" s="1">
        <v>0</v>
      </c>
      <c r="F121" s="1">
        <v>1</v>
      </c>
      <c r="G121" s="1">
        <v>-1</v>
      </c>
      <c r="H121" s="1">
        <v>1</v>
      </c>
      <c r="J121" s="1">
        <v>-1</v>
      </c>
      <c r="L121" s="1">
        <v>3600.4287749999999</v>
      </c>
      <c r="N121" s="1">
        <v>175.308043</v>
      </c>
      <c r="P121" s="1">
        <v>3425.0813149999999</v>
      </c>
      <c r="R121" s="1">
        <v>100000</v>
      </c>
      <c r="S121" s="1">
        <v>56160.9997</v>
      </c>
      <c r="T121" s="1">
        <v>56160.9997</v>
      </c>
      <c r="U121" s="1">
        <v>50001</v>
      </c>
      <c r="V121" s="1">
        <v>6159.9997039999998</v>
      </c>
      <c r="W121" s="1">
        <v>-1</v>
      </c>
      <c r="X121" s="1">
        <v>-1</v>
      </c>
      <c r="Y121" s="1">
        <v>0</v>
      </c>
    </row>
    <row r="122" spans="1:25" x14ac:dyDescent="0.3">
      <c r="A122" t="s">
        <v>140</v>
      </c>
      <c r="B122">
        <v>7725.9996529999999</v>
      </c>
      <c r="C122">
        <v>7.0727999999999999E-2</v>
      </c>
      <c r="D122">
        <v>0</v>
      </c>
      <c r="E122">
        <v>0</v>
      </c>
      <c r="F122">
        <v>1</v>
      </c>
      <c r="G122">
        <v>-1</v>
      </c>
      <c r="H122">
        <v>1</v>
      </c>
      <c r="I122" t="s">
        <v>234</v>
      </c>
      <c r="J122">
        <v>-1</v>
      </c>
      <c r="K122" t="s">
        <v>233</v>
      </c>
      <c r="L122">
        <v>3600.1339809999999</v>
      </c>
      <c r="M122" t="s">
        <v>239</v>
      </c>
      <c r="N122">
        <v>29.350292</v>
      </c>
      <c r="O122" t="s">
        <v>234</v>
      </c>
      <c r="P122">
        <v>3570.7129610000002</v>
      </c>
      <c r="Q122" t="s">
        <v>234</v>
      </c>
      <c r="R122">
        <v>100000</v>
      </c>
      <c r="S122">
        <v>57727.999649999998</v>
      </c>
      <c r="T122">
        <v>57727.999649999998</v>
      </c>
      <c r="U122">
        <v>50002</v>
      </c>
      <c r="V122">
        <v>7725.9996529999999</v>
      </c>
      <c r="W122">
        <v>-1</v>
      </c>
      <c r="X122">
        <v>-1</v>
      </c>
      <c r="Y122">
        <v>0</v>
      </c>
    </row>
    <row r="123" spans="1:25" x14ac:dyDescent="0.3">
      <c r="A123" t="s">
        <v>141</v>
      </c>
      <c r="B123">
        <v>7758.0003379999998</v>
      </c>
      <c r="C123">
        <v>4.2913E-2</v>
      </c>
      <c r="E123">
        <v>0</v>
      </c>
      <c r="F123">
        <v>1</v>
      </c>
      <c r="G123">
        <v>-1</v>
      </c>
      <c r="H123">
        <v>1</v>
      </c>
      <c r="J123">
        <v>-1</v>
      </c>
      <c r="L123">
        <v>3600.0831720000001</v>
      </c>
      <c r="N123">
        <v>138.13872799999999</v>
      </c>
      <c r="P123">
        <v>3461.901531</v>
      </c>
      <c r="R123">
        <v>100000</v>
      </c>
      <c r="S123">
        <v>67759.000339999999</v>
      </c>
      <c r="T123">
        <v>67759.000339999999</v>
      </c>
      <c r="U123">
        <v>60001</v>
      </c>
      <c r="V123">
        <v>7758.0003379999998</v>
      </c>
      <c r="W123">
        <v>-1</v>
      </c>
      <c r="X123">
        <v>-1</v>
      </c>
      <c r="Y123">
        <v>0</v>
      </c>
    </row>
    <row r="124" spans="1:25" x14ac:dyDescent="0.3">
      <c r="A124" t="s">
        <v>142</v>
      </c>
      <c r="B124">
        <v>7349.9996330000004</v>
      </c>
      <c r="C124">
        <v>3.3355999999999997E-2</v>
      </c>
      <c r="E124">
        <v>0</v>
      </c>
      <c r="F124">
        <v>1</v>
      </c>
      <c r="G124">
        <v>-1</v>
      </c>
      <c r="H124">
        <v>1</v>
      </c>
      <c r="J124">
        <v>-1</v>
      </c>
      <c r="L124">
        <v>3600.4038430000001</v>
      </c>
      <c r="N124">
        <v>47.979903999999998</v>
      </c>
      <c r="P124">
        <v>3552.3905829999999</v>
      </c>
      <c r="R124">
        <v>100000</v>
      </c>
      <c r="S124">
        <v>57350.999629999998</v>
      </c>
      <c r="T124">
        <v>57350.999629999998</v>
      </c>
      <c r="U124">
        <v>50001</v>
      </c>
      <c r="V124">
        <v>7349.9996330000004</v>
      </c>
      <c r="W124">
        <v>-1</v>
      </c>
      <c r="X124">
        <v>-1</v>
      </c>
      <c r="Y124">
        <v>0</v>
      </c>
    </row>
    <row r="125" spans="1:25" x14ac:dyDescent="0.3">
      <c r="A125" t="s">
        <v>143</v>
      </c>
      <c r="B125">
        <v>7725.9994509999997</v>
      </c>
      <c r="C125">
        <v>4.2344E-2</v>
      </c>
      <c r="E125">
        <v>0</v>
      </c>
      <c r="F125">
        <v>1</v>
      </c>
      <c r="G125">
        <v>-1</v>
      </c>
      <c r="H125">
        <v>1</v>
      </c>
      <c r="J125">
        <v>-1</v>
      </c>
      <c r="L125">
        <v>3600.4528369999998</v>
      </c>
      <c r="N125">
        <v>21.955743999999999</v>
      </c>
      <c r="P125">
        <v>3578.454749</v>
      </c>
      <c r="R125">
        <v>100000</v>
      </c>
      <c r="S125">
        <v>57726.999450000003</v>
      </c>
      <c r="T125">
        <v>57726.999450000003</v>
      </c>
      <c r="U125">
        <v>50001</v>
      </c>
      <c r="V125">
        <v>7725.9994509999997</v>
      </c>
      <c r="W125">
        <v>-1</v>
      </c>
      <c r="X125">
        <v>-1</v>
      </c>
      <c r="Y125">
        <v>0</v>
      </c>
    </row>
    <row r="126" spans="1:25" x14ac:dyDescent="0.3">
      <c r="A126" t="s">
        <v>144</v>
      </c>
      <c r="B126">
        <v>7730.0009010000003</v>
      </c>
      <c r="C126">
        <v>5.7181999999999997E-2</v>
      </c>
      <c r="E126">
        <v>0</v>
      </c>
      <c r="F126">
        <v>1</v>
      </c>
      <c r="G126">
        <v>-1</v>
      </c>
      <c r="H126">
        <v>1</v>
      </c>
      <c r="J126">
        <v>-1</v>
      </c>
      <c r="L126">
        <v>3603.3652910000001</v>
      </c>
      <c r="N126">
        <v>50.096964999999997</v>
      </c>
      <c r="P126">
        <v>3553.2111439999999</v>
      </c>
      <c r="R126">
        <v>100000</v>
      </c>
      <c r="S126">
        <v>57733.000899999999</v>
      </c>
      <c r="T126">
        <v>57733.000899999999</v>
      </c>
      <c r="U126">
        <v>50003</v>
      </c>
      <c r="V126">
        <v>7730.0009010000003</v>
      </c>
      <c r="W126">
        <v>-1</v>
      </c>
      <c r="X126">
        <v>-1</v>
      </c>
      <c r="Y126">
        <v>0</v>
      </c>
    </row>
    <row r="127" spans="1:25" x14ac:dyDescent="0.3">
      <c r="A127" t="s">
        <v>145</v>
      </c>
      <c r="B127">
        <v>7737.9982170000003</v>
      </c>
      <c r="C127">
        <v>9.1784000000000004E-2</v>
      </c>
      <c r="E127">
        <v>0</v>
      </c>
      <c r="F127">
        <v>1</v>
      </c>
      <c r="G127">
        <v>-1</v>
      </c>
      <c r="H127">
        <v>1</v>
      </c>
      <c r="J127">
        <v>-1</v>
      </c>
      <c r="L127">
        <v>3602.1716509999997</v>
      </c>
      <c r="N127">
        <v>52.296411999999997</v>
      </c>
      <c r="P127">
        <v>3549.7834549999998</v>
      </c>
      <c r="R127">
        <v>100000</v>
      </c>
      <c r="S127">
        <v>57738.998220000001</v>
      </c>
      <c r="T127">
        <v>57738.998220000001</v>
      </c>
      <c r="U127">
        <v>50001</v>
      </c>
      <c r="V127">
        <v>7737.9982170000003</v>
      </c>
      <c r="W127">
        <v>-1</v>
      </c>
      <c r="X127">
        <v>-1</v>
      </c>
      <c r="Y127">
        <v>0</v>
      </c>
    </row>
    <row r="128" spans="1:25" x14ac:dyDescent="0.3">
      <c r="A128" t="s">
        <v>146</v>
      </c>
      <c r="B128">
        <v>7450.0004769999996</v>
      </c>
      <c r="C128">
        <v>4.2744999999999998E-2</v>
      </c>
      <c r="E128">
        <v>0</v>
      </c>
      <c r="F128">
        <v>1</v>
      </c>
      <c r="G128">
        <v>-1</v>
      </c>
      <c r="H128">
        <v>1</v>
      </c>
      <c r="J128">
        <v>-1</v>
      </c>
      <c r="L128">
        <v>3600.4940080000001</v>
      </c>
      <c r="N128">
        <v>86.883403999999999</v>
      </c>
      <c r="P128">
        <v>3513.5678590000002</v>
      </c>
      <c r="R128">
        <v>100000</v>
      </c>
      <c r="S128">
        <v>57452.000480000002</v>
      </c>
      <c r="T128">
        <v>57452.000480000002</v>
      </c>
      <c r="U128">
        <v>50002</v>
      </c>
      <c r="V128">
        <v>7450.0004769999996</v>
      </c>
      <c r="W128">
        <v>-1</v>
      </c>
      <c r="X128">
        <v>-1</v>
      </c>
      <c r="Y128">
        <v>0</v>
      </c>
    </row>
    <row r="129" spans="1:25" x14ac:dyDescent="0.3">
      <c r="A129" t="s">
        <v>147</v>
      </c>
      <c r="B129">
        <v>7744.0002500000001</v>
      </c>
      <c r="C129">
        <v>5.0696999999999999E-2</v>
      </c>
      <c r="E129">
        <v>0</v>
      </c>
      <c r="F129">
        <v>1</v>
      </c>
      <c r="G129">
        <v>-1</v>
      </c>
      <c r="H129">
        <v>1</v>
      </c>
      <c r="J129">
        <v>-1</v>
      </c>
      <c r="L129">
        <v>3600.4661070000002</v>
      </c>
      <c r="N129">
        <v>27.072966999999998</v>
      </c>
      <c r="P129">
        <v>3573.342443</v>
      </c>
      <c r="R129">
        <v>100000</v>
      </c>
      <c r="S129">
        <v>57745.000249999997</v>
      </c>
      <c r="T129">
        <v>57745.000249999997</v>
      </c>
      <c r="U129">
        <v>50001</v>
      </c>
      <c r="V129">
        <v>7744.0002500000001</v>
      </c>
      <c r="W129">
        <v>-1</v>
      </c>
      <c r="X129">
        <v>-1</v>
      </c>
      <c r="Y129">
        <v>0</v>
      </c>
    </row>
    <row r="130" spans="1:25" x14ac:dyDescent="0.3">
      <c r="A130" t="s">
        <v>148</v>
      </c>
      <c r="B130">
        <v>7783.9989960000003</v>
      </c>
      <c r="C130">
        <v>4.1505E-2</v>
      </c>
      <c r="E130">
        <v>0</v>
      </c>
      <c r="F130">
        <v>1</v>
      </c>
      <c r="G130">
        <v>-1</v>
      </c>
      <c r="H130">
        <v>1</v>
      </c>
      <c r="J130">
        <v>-1</v>
      </c>
      <c r="L130">
        <v>3602.4203440000001</v>
      </c>
      <c r="N130">
        <v>85.817155999999997</v>
      </c>
      <c r="P130">
        <v>3516.5616829999999</v>
      </c>
      <c r="R130">
        <v>100000</v>
      </c>
      <c r="S130">
        <v>57785.999000000003</v>
      </c>
      <c r="T130">
        <v>57785.999000000003</v>
      </c>
      <c r="U130">
        <v>50002</v>
      </c>
      <c r="V130">
        <v>7783.9989960000003</v>
      </c>
      <c r="W130">
        <v>-1</v>
      </c>
      <c r="X130">
        <v>-1</v>
      </c>
      <c r="Y130">
        <v>0</v>
      </c>
    </row>
    <row r="131" spans="1:25" x14ac:dyDescent="0.3">
      <c r="A131" t="s">
        <v>149</v>
      </c>
      <c r="B131">
        <v>7746.0001169999996</v>
      </c>
      <c r="C131">
        <v>3.9868000000000001E-2</v>
      </c>
      <c r="E131">
        <v>0</v>
      </c>
      <c r="F131">
        <v>1</v>
      </c>
      <c r="G131">
        <v>-1</v>
      </c>
      <c r="H131">
        <v>1</v>
      </c>
      <c r="J131">
        <v>-1</v>
      </c>
      <c r="L131">
        <v>3602.4229670000004</v>
      </c>
      <c r="N131">
        <v>35.072119000000001</v>
      </c>
      <c r="P131">
        <v>3567.3109800000002</v>
      </c>
      <c r="R131">
        <v>100000</v>
      </c>
      <c r="S131">
        <v>57747.000119999997</v>
      </c>
      <c r="T131">
        <v>57747.000119999997</v>
      </c>
      <c r="U131">
        <v>50001</v>
      </c>
      <c r="V131">
        <v>7746.0001169999996</v>
      </c>
      <c r="W131">
        <v>-1</v>
      </c>
      <c r="X131">
        <v>-1</v>
      </c>
      <c r="Y131">
        <v>0</v>
      </c>
    </row>
    <row r="132" spans="1:25" x14ac:dyDescent="0.3">
      <c r="A132" t="s">
        <v>150</v>
      </c>
      <c r="B132">
        <v>7647.99856</v>
      </c>
      <c r="C132">
        <v>3.1432000000000002E-2</v>
      </c>
      <c r="E132">
        <v>0</v>
      </c>
      <c r="F132">
        <v>1</v>
      </c>
      <c r="G132">
        <v>-1</v>
      </c>
      <c r="H132">
        <v>1</v>
      </c>
      <c r="J132">
        <v>-1</v>
      </c>
      <c r="L132">
        <v>3600.0768779999999</v>
      </c>
      <c r="N132">
        <v>1975.8045770000001</v>
      </c>
      <c r="P132">
        <v>1624.240869</v>
      </c>
      <c r="R132">
        <v>100000</v>
      </c>
      <c r="S132">
        <v>67648.998560000007</v>
      </c>
      <c r="T132">
        <v>67648.998560000007</v>
      </c>
      <c r="U132">
        <v>60001</v>
      </c>
      <c r="V132">
        <v>7647.99856</v>
      </c>
      <c r="W132">
        <v>-1</v>
      </c>
      <c r="X132">
        <v>-1</v>
      </c>
      <c r="Y132">
        <v>0</v>
      </c>
    </row>
    <row r="133" spans="1:25" x14ac:dyDescent="0.3">
      <c r="A133" t="s">
        <v>151</v>
      </c>
      <c r="B133">
        <v>7713.998439</v>
      </c>
      <c r="C133">
        <v>6.9906999999999997E-2</v>
      </c>
      <c r="E133">
        <v>0</v>
      </c>
      <c r="F133">
        <v>1</v>
      </c>
      <c r="G133">
        <v>-1</v>
      </c>
      <c r="H133">
        <v>1</v>
      </c>
      <c r="J133">
        <v>-1</v>
      </c>
      <c r="L133">
        <v>3602.709292</v>
      </c>
      <c r="N133">
        <v>1156.346301</v>
      </c>
      <c r="P133">
        <v>2446.2930839999999</v>
      </c>
      <c r="R133">
        <v>100000</v>
      </c>
      <c r="S133">
        <v>67714.998439999996</v>
      </c>
      <c r="T133">
        <v>67714.998439999996</v>
      </c>
      <c r="U133">
        <v>60001</v>
      </c>
      <c r="V133">
        <v>7713.998439</v>
      </c>
      <c r="W133">
        <v>-1</v>
      </c>
      <c r="X133">
        <v>-1</v>
      </c>
      <c r="Y133">
        <v>0</v>
      </c>
    </row>
    <row r="134" spans="1:25" x14ac:dyDescent="0.3">
      <c r="A134" t="s">
        <v>152</v>
      </c>
      <c r="B134">
        <v>8000.0008760000001</v>
      </c>
      <c r="C134">
        <v>0.340922</v>
      </c>
      <c r="E134">
        <v>0</v>
      </c>
      <c r="F134">
        <v>1</v>
      </c>
      <c r="G134">
        <v>-1</v>
      </c>
      <c r="H134">
        <v>1</v>
      </c>
      <c r="J134">
        <v>-1</v>
      </c>
      <c r="L134">
        <v>3600.3768109999996</v>
      </c>
      <c r="N134">
        <v>2743.1546539999999</v>
      </c>
      <c r="P134">
        <v>856.88123499999995</v>
      </c>
      <c r="R134">
        <v>100000</v>
      </c>
      <c r="S134">
        <v>68001.000880000007</v>
      </c>
      <c r="T134">
        <v>68001.000880000007</v>
      </c>
      <c r="U134">
        <v>60001</v>
      </c>
      <c r="V134">
        <v>8000.0008760000001</v>
      </c>
      <c r="W134">
        <v>-1</v>
      </c>
      <c r="X134">
        <v>-1</v>
      </c>
      <c r="Y134">
        <v>0</v>
      </c>
    </row>
    <row r="135" spans="1:25" x14ac:dyDescent="0.3">
      <c r="A135" t="s">
        <v>153</v>
      </c>
      <c r="B135">
        <v>7697.9959140000001</v>
      </c>
      <c r="C135">
        <v>0.62814700000000001</v>
      </c>
      <c r="E135">
        <v>0</v>
      </c>
      <c r="F135">
        <v>1</v>
      </c>
      <c r="G135">
        <v>-1</v>
      </c>
      <c r="H135">
        <v>1</v>
      </c>
      <c r="J135">
        <v>-1</v>
      </c>
      <c r="L135">
        <v>3600.981581</v>
      </c>
      <c r="N135">
        <v>741.70446200000004</v>
      </c>
      <c r="P135">
        <v>2858.648972</v>
      </c>
      <c r="R135">
        <v>100000</v>
      </c>
      <c r="S135">
        <v>67698.995909999998</v>
      </c>
      <c r="T135">
        <v>67698.995909999998</v>
      </c>
      <c r="U135">
        <v>60001</v>
      </c>
      <c r="V135">
        <v>7697.9959140000001</v>
      </c>
      <c r="W135">
        <v>-1</v>
      </c>
      <c r="X135">
        <v>-1</v>
      </c>
      <c r="Y135">
        <v>0</v>
      </c>
    </row>
    <row r="136" spans="1:25" x14ac:dyDescent="0.3">
      <c r="A136" t="s">
        <v>154</v>
      </c>
      <c r="B136">
        <v>7709.9989800000003</v>
      </c>
      <c r="C136">
        <v>4.1709999999999997E-2</v>
      </c>
      <c r="E136">
        <v>0</v>
      </c>
      <c r="F136">
        <v>1</v>
      </c>
      <c r="G136">
        <v>-1</v>
      </c>
      <c r="H136">
        <v>1</v>
      </c>
      <c r="J136">
        <v>-1</v>
      </c>
      <c r="L136">
        <v>3600.8096249999999</v>
      </c>
      <c r="N136">
        <v>74.134606000000005</v>
      </c>
      <c r="P136">
        <v>3526.6333089999998</v>
      </c>
      <c r="R136">
        <v>100000</v>
      </c>
      <c r="S136">
        <v>57710.998979999997</v>
      </c>
      <c r="T136">
        <v>57710.998979999997</v>
      </c>
      <c r="U136">
        <v>50001</v>
      </c>
      <c r="V136">
        <v>7709.9989800000003</v>
      </c>
      <c r="W136">
        <v>-1</v>
      </c>
      <c r="X136">
        <v>-1</v>
      </c>
      <c r="Y136">
        <v>0</v>
      </c>
    </row>
    <row r="137" spans="1:25" x14ac:dyDescent="0.3">
      <c r="A137" t="s">
        <v>155</v>
      </c>
      <c r="B137">
        <v>7711.996717</v>
      </c>
      <c r="C137">
        <v>4.6486E-2</v>
      </c>
      <c r="E137">
        <v>0</v>
      </c>
      <c r="F137">
        <v>1</v>
      </c>
      <c r="G137">
        <v>-1</v>
      </c>
      <c r="H137">
        <v>1</v>
      </c>
      <c r="J137">
        <v>-1</v>
      </c>
      <c r="L137">
        <v>3600.5237160000001</v>
      </c>
      <c r="N137">
        <v>31.481659000000001</v>
      </c>
      <c r="P137">
        <v>3568.9955709999999</v>
      </c>
      <c r="R137">
        <v>100000</v>
      </c>
      <c r="S137">
        <v>57712.996720000003</v>
      </c>
      <c r="T137">
        <v>57712.996720000003</v>
      </c>
      <c r="U137">
        <v>50001</v>
      </c>
      <c r="V137">
        <v>7711.996717</v>
      </c>
      <c r="W137">
        <v>-1</v>
      </c>
      <c r="X137">
        <v>-1</v>
      </c>
      <c r="Y137">
        <v>0</v>
      </c>
    </row>
    <row r="138" spans="1:25" x14ac:dyDescent="0.3">
      <c r="A138" t="s">
        <v>156</v>
      </c>
      <c r="B138">
        <v>7616.0003420000003</v>
      </c>
      <c r="C138">
        <v>3.5764999999999998E-2</v>
      </c>
      <c r="E138">
        <v>0</v>
      </c>
      <c r="F138">
        <v>1</v>
      </c>
      <c r="G138">
        <v>-1</v>
      </c>
      <c r="H138">
        <v>1</v>
      </c>
      <c r="J138">
        <v>-1</v>
      </c>
      <c r="L138">
        <v>3600.067184</v>
      </c>
      <c r="N138">
        <v>2430.619725</v>
      </c>
      <c r="P138">
        <v>1169.4116939999999</v>
      </c>
      <c r="R138">
        <v>100000</v>
      </c>
      <c r="S138">
        <v>67617.000339999999</v>
      </c>
      <c r="T138">
        <v>67617.000339999999</v>
      </c>
      <c r="U138">
        <v>60001</v>
      </c>
      <c r="V138">
        <v>7616.0003420000003</v>
      </c>
      <c r="W138">
        <v>-1</v>
      </c>
      <c r="X138">
        <v>-1</v>
      </c>
      <c r="Y138">
        <v>0</v>
      </c>
    </row>
    <row r="139" spans="1:25" x14ac:dyDescent="0.3">
      <c r="A139" t="s">
        <v>157</v>
      </c>
      <c r="B139">
        <v>7783.9998189999997</v>
      </c>
      <c r="C139">
        <v>3.9987000000000002E-2</v>
      </c>
      <c r="E139">
        <v>0</v>
      </c>
      <c r="F139">
        <v>1</v>
      </c>
      <c r="G139">
        <v>-1</v>
      </c>
      <c r="H139">
        <v>1</v>
      </c>
      <c r="J139">
        <v>-1</v>
      </c>
      <c r="L139">
        <v>3601.1266759999999</v>
      </c>
      <c r="N139">
        <v>25.199714</v>
      </c>
      <c r="P139">
        <v>3575.8869749999999</v>
      </c>
      <c r="R139">
        <v>100000</v>
      </c>
      <c r="S139">
        <v>47788.999819999997</v>
      </c>
      <c r="T139">
        <v>47788.999819999997</v>
      </c>
      <c r="U139">
        <v>40005</v>
      </c>
      <c r="V139">
        <v>7783.9998189999997</v>
      </c>
      <c r="W139">
        <v>-1</v>
      </c>
      <c r="X139">
        <v>-1</v>
      </c>
      <c r="Y139">
        <v>0</v>
      </c>
    </row>
    <row r="140" spans="1:25" x14ac:dyDescent="0.3">
      <c r="A140" t="s">
        <v>158</v>
      </c>
      <c r="B140">
        <v>7711.9999109999999</v>
      </c>
      <c r="C140">
        <v>3.9948999999999998E-2</v>
      </c>
      <c r="E140">
        <v>0</v>
      </c>
      <c r="F140">
        <v>1</v>
      </c>
      <c r="G140">
        <v>-1</v>
      </c>
      <c r="H140">
        <v>1</v>
      </c>
      <c r="J140">
        <v>-1</v>
      </c>
      <c r="L140">
        <v>3600.12239</v>
      </c>
      <c r="N140">
        <v>52.431607</v>
      </c>
      <c r="P140">
        <v>3547.650834</v>
      </c>
      <c r="R140">
        <v>100000</v>
      </c>
      <c r="S140">
        <v>57713.999909999999</v>
      </c>
      <c r="T140">
        <v>57713.999909999999</v>
      </c>
      <c r="U140">
        <v>50002</v>
      </c>
      <c r="V140">
        <v>7711.9999109999999</v>
      </c>
      <c r="W140">
        <v>-1</v>
      </c>
      <c r="X140">
        <v>-1</v>
      </c>
      <c r="Y140">
        <v>0</v>
      </c>
    </row>
    <row r="141" spans="1:25" x14ac:dyDescent="0.3">
      <c r="A141" t="s">
        <v>159</v>
      </c>
      <c r="B141">
        <v>7758.0003379999998</v>
      </c>
      <c r="C141">
        <v>3.9226999999999998E-2</v>
      </c>
      <c r="E141">
        <v>0</v>
      </c>
      <c r="F141">
        <v>1</v>
      </c>
      <c r="G141">
        <v>-1</v>
      </c>
      <c r="H141">
        <v>1</v>
      </c>
      <c r="J141">
        <v>-1</v>
      </c>
      <c r="L141">
        <v>3600.315893</v>
      </c>
      <c r="N141">
        <v>1405.8279869999999</v>
      </c>
      <c r="P141">
        <v>2194.4486790000001</v>
      </c>
      <c r="R141">
        <v>100000</v>
      </c>
      <c r="S141">
        <v>67759.000339999999</v>
      </c>
      <c r="T141">
        <v>67759.000339999999</v>
      </c>
      <c r="U141">
        <v>60001</v>
      </c>
      <c r="V141">
        <v>7758.0003379999998</v>
      </c>
      <c r="W141">
        <v>-1</v>
      </c>
      <c r="X141">
        <v>-1</v>
      </c>
      <c r="Y141">
        <v>0</v>
      </c>
    </row>
    <row r="142" spans="1:25" x14ac:dyDescent="0.3">
      <c r="A142" t="s">
        <v>160</v>
      </c>
      <c r="B142">
        <v>8215.9998599999999</v>
      </c>
      <c r="C142">
        <v>4.0451000000000001E-2</v>
      </c>
      <c r="E142">
        <v>0</v>
      </c>
      <c r="F142">
        <v>1</v>
      </c>
      <c r="G142">
        <v>-1</v>
      </c>
      <c r="H142">
        <v>1</v>
      </c>
      <c r="J142">
        <v>-1</v>
      </c>
      <c r="L142">
        <v>3604.315838</v>
      </c>
      <c r="N142">
        <v>27.539235000000001</v>
      </c>
      <c r="P142">
        <v>3576.7361519999999</v>
      </c>
      <c r="R142">
        <v>100000</v>
      </c>
      <c r="S142">
        <v>58217.999860000004</v>
      </c>
      <c r="T142">
        <v>58217.999860000004</v>
      </c>
      <c r="U142">
        <v>50002</v>
      </c>
      <c r="V142">
        <v>8215.9998599999999</v>
      </c>
      <c r="W142">
        <v>-1</v>
      </c>
      <c r="X142">
        <v>-1</v>
      </c>
      <c r="Y142">
        <v>0</v>
      </c>
    </row>
    <row r="143" spans="1:25" x14ac:dyDescent="0.3">
      <c r="A143" t="s">
        <v>161</v>
      </c>
      <c r="B143">
        <v>8201.9986509999999</v>
      </c>
      <c r="C143">
        <v>4.2986999999999997E-2</v>
      </c>
      <c r="E143">
        <v>0</v>
      </c>
      <c r="F143">
        <v>1</v>
      </c>
      <c r="G143">
        <v>-1</v>
      </c>
      <c r="H143">
        <v>1</v>
      </c>
      <c r="J143">
        <v>-1</v>
      </c>
      <c r="L143">
        <v>3600.8139959999999</v>
      </c>
      <c r="N143">
        <v>68.615752999999998</v>
      </c>
      <c r="P143">
        <v>3532.155256</v>
      </c>
      <c r="R143">
        <v>100000</v>
      </c>
      <c r="S143">
        <v>58203.998650000001</v>
      </c>
      <c r="T143">
        <v>58203.998650000001</v>
      </c>
      <c r="U143">
        <v>50002</v>
      </c>
      <c r="V143">
        <v>8201.9986509999999</v>
      </c>
      <c r="W143">
        <v>-1</v>
      </c>
      <c r="X143">
        <v>-1</v>
      </c>
      <c r="Y143">
        <v>0</v>
      </c>
    </row>
    <row r="144" spans="1:25" x14ac:dyDescent="0.3">
      <c r="A144" t="s">
        <v>162</v>
      </c>
      <c r="B144">
        <v>7855.9985070000002</v>
      </c>
      <c r="C144">
        <v>3.4618999999999997E-2</v>
      </c>
      <c r="E144">
        <v>0</v>
      </c>
      <c r="F144">
        <v>1</v>
      </c>
      <c r="G144">
        <v>-1</v>
      </c>
      <c r="H144">
        <v>1</v>
      </c>
      <c r="J144">
        <v>-1</v>
      </c>
      <c r="L144">
        <v>3608.6129639999999</v>
      </c>
      <c r="N144">
        <v>937.13242300000002</v>
      </c>
      <c r="P144">
        <v>2671.4459219999999</v>
      </c>
      <c r="R144">
        <v>100000</v>
      </c>
      <c r="S144">
        <v>67857.998510000005</v>
      </c>
      <c r="T144">
        <v>67857.998510000005</v>
      </c>
      <c r="U144">
        <v>60002</v>
      </c>
      <c r="V144">
        <v>7855.9985070000002</v>
      </c>
      <c r="W144">
        <v>-1</v>
      </c>
      <c r="X144">
        <v>-1</v>
      </c>
      <c r="Y144">
        <v>0</v>
      </c>
    </row>
    <row r="145" spans="1:25" x14ac:dyDescent="0.3">
      <c r="A145" t="s">
        <v>163</v>
      </c>
      <c r="B145">
        <v>7730.0009010000003</v>
      </c>
      <c r="C145">
        <v>4.8113999999999997E-2</v>
      </c>
      <c r="E145">
        <v>0</v>
      </c>
      <c r="F145">
        <v>1</v>
      </c>
      <c r="G145">
        <v>-1</v>
      </c>
      <c r="H145">
        <v>1</v>
      </c>
      <c r="J145">
        <v>-1</v>
      </c>
      <c r="L145">
        <v>3600.4949690000003</v>
      </c>
      <c r="N145">
        <v>445.89868200000001</v>
      </c>
      <c r="P145">
        <v>3154.5481730000001</v>
      </c>
      <c r="R145">
        <v>100000</v>
      </c>
      <c r="S145">
        <v>67731.000899999999</v>
      </c>
      <c r="T145">
        <v>67731.000899999999</v>
      </c>
      <c r="U145">
        <v>60001</v>
      </c>
      <c r="V145">
        <v>7730.0009010000003</v>
      </c>
      <c r="W145">
        <v>-1</v>
      </c>
      <c r="X145">
        <v>-1</v>
      </c>
      <c r="Y145">
        <v>0</v>
      </c>
    </row>
    <row r="146" spans="1:25" x14ac:dyDescent="0.3">
      <c r="A146" t="s">
        <v>164</v>
      </c>
      <c r="B146">
        <v>7872.0010519999996</v>
      </c>
      <c r="C146">
        <v>4.5071E-2</v>
      </c>
      <c r="E146">
        <v>0</v>
      </c>
      <c r="F146">
        <v>1</v>
      </c>
      <c r="G146">
        <v>-1</v>
      </c>
      <c r="H146">
        <v>1</v>
      </c>
      <c r="J146">
        <v>-1</v>
      </c>
      <c r="L146">
        <v>3604.1647359999997</v>
      </c>
      <c r="N146">
        <v>84.353826999999995</v>
      </c>
      <c r="P146">
        <v>3519.7658379999998</v>
      </c>
      <c r="R146">
        <v>100000</v>
      </c>
      <c r="S146">
        <v>57874.001049999999</v>
      </c>
      <c r="T146">
        <v>57874.001049999999</v>
      </c>
      <c r="U146">
        <v>50002</v>
      </c>
      <c r="V146">
        <v>7872.0010519999996</v>
      </c>
      <c r="W146">
        <v>-1</v>
      </c>
      <c r="X146">
        <v>-1</v>
      </c>
      <c r="Y146">
        <v>0</v>
      </c>
    </row>
    <row r="147" spans="1:25" x14ac:dyDescent="0.3">
      <c r="A147" t="s">
        <v>165</v>
      </c>
      <c r="B147">
        <v>7737.9989150000001</v>
      </c>
      <c r="C147">
        <v>3.0429000000000001E-2</v>
      </c>
      <c r="E147">
        <v>0</v>
      </c>
      <c r="F147">
        <v>1</v>
      </c>
      <c r="G147">
        <v>-1</v>
      </c>
      <c r="H147">
        <v>1</v>
      </c>
      <c r="J147">
        <v>-1</v>
      </c>
      <c r="L147">
        <v>3602.7017929999997</v>
      </c>
      <c r="N147">
        <v>19.672125999999999</v>
      </c>
      <c r="P147">
        <v>3582.9992379999999</v>
      </c>
      <c r="R147">
        <v>100000</v>
      </c>
      <c r="S147">
        <v>57740.998919999998</v>
      </c>
      <c r="T147">
        <v>57740.998919999998</v>
      </c>
      <c r="U147">
        <v>50003</v>
      </c>
      <c r="V147">
        <v>7737.9989150000001</v>
      </c>
      <c r="W147">
        <v>-1</v>
      </c>
      <c r="X147">
        <v>-1</v>
      </c>
      <c r="Y147">
        <v>0</v>
      </c>
    </row>
    <row r="148" spans="1:25" x14ac:dyDescent="0.3">
      <c r="A148" t="s">
        <v>166</v>
      </c>
      <c r="B148">
        <v>7647.99856</v>
      </c>
      <c r="C148">
        <v>3.4487999999999998E-2</v>
      </c>
      <c r="E148">
        <v>0</v>
      </c>
      <c r="F148">
        <v>1</v>
      </c>
      <c r="G148">
        <v>-1</v>
      </c>
      <c r="H148">
        <v>1</v>
      </c>
      <c r="J148">
        <v>-1</v>
      </c>
      <c r="L148">
        <v>3602.1703199999997</v>
      </c>
      <c r="N148">
        <v>236.74868799999999</v>
      </c>
      <c r="P148">
        <v>3365.3871439999998</v>
      </c>
      <c r="R148">
        <v>100000</v>
      </c>
      <c r="S148">
        <v>67648.998560000007</v>
      </c>
      <c r="T148">
        <v>67648.998560000007</v>
      </c>
      <c r="U148">
        <v>60001</v>
      </c>
      <c r="V148">
        <v>7647.99856</v>
      </c>
      <c r="W148">
        <v>-1</v>
      </c>
      <c r="X148">
        <v>-1</v>
      </c>
      <c r="Y148">
        <v>0</v>
      </c>
    </row>
    <row r="149" spans="1:25" x14ac:dyDescent="0.3">
      <c r="A149" t="s">
        <v>167</v>
      </c>
      <c r="B149">
        <v>7791.998646</v>
      </c>
      <c r="C149">
        <v>3.2398999999999997E-2</v>
      </c>
      <c r="E149">
        <v>0</v>
      </c>
      <c r="F149">
        <v>1</v>
      </c>
      <c r="G149">
        <v>-1</v>
      </c>
      <c r="H149">
        <v>1</v>
      </c>
      <c r="J149">
        <v>-1</v>
      </c>
      <c r="L149">
        <v>3600.3687530000007</v>
      </c>
      <c r="N149">
        <v>2556.0814420000002</v>
      </c>
      <c r="P149">
        <v>1044.2549120000001</v>
      </c>
      <c r="R149">
        <v>100000</v>
      </c>
      <c r="S149">
        <v>67792.998649999994</v>
      </c>
      <c r="T149">
        <v>67792.998649999994</v>
      </c>
      <c r="U149">
        <v>60001</v>
      </c>
      <c r="V149">
        <v>7791.998646</v>
      </c>
      <c r="W149">
        <v>-1</v>
      </c>
      <c r="X149">
        <v>-1</v>
      </c>
      <c r="Y149">
        <v>0</v>
      </c>
    </row>
    <row r="150" spans="1:25" x14ac:dyDescent="0.3">
      <c r="A150" t="s">
        <v>168</v>
      </c>
      <c r="B150">
        <v>8050.0001609999999</v>
      </c>
      <c r="C150">
        <v>4.7139E-2</v>
      </c>
      <c r="E150">
        <v>0</v>
      </c>
      <c r="F150">
        <v>1</v>
      </c>
      <c r="G150">
        <v>-1</v>
      </c>
      <c r="H150">
        <v>1</v>
      </c>
      <c r="J150">
        <v>-1</v>
      </c>
      <c r="L150">
        <v>3600.4583120000002</v>
      </c>
      <c r="N150">
        <v>72.276031000000003</v>
      </c>
      <c r="P150">
        <v>3528.1351420000001</v>
      </c>
      <c r="R150">
        <v>100000</v>
      </c>
      <c r="S150">
        <v>58051.000160000003</v>
      </c>
      <c r="T150">
        <v>58051.000160000003</v>
      </c>
      <c r="U150">
        <v>50001</v>
      </c>
      <c r="V150">
        <v>8050.0001609999999</v>
      </c>
      <c r="W150">
        <v>-1</v>
      </c>
      <c r="X150">
        <v>-1</v>
      </c>
      <c r="Y150">
        <v>0</v>
      </c>
    </row>
    <row r="151" spans="1:25" s="1" customFormat="1" x14ac:dyDescent="0.3">
      <c r="A151" s="1" t="s">
        <v>169</v>
      </c>
      <c r="B151" s="1">
        <v>8160.0005810000002</v>
      </c>
      <c r="C151" s="1">
        <v>2.9228000000000001E-2</v>
      </c>
      <c r="E151" s="1">
        <v>0</v>
      </c>
      <c r="F151" s="1">
        <v>1</v>
      </c>
      <c r="G151" s="1">
        <v>-1</v>
      </c>
      <c r="H151" s="1">
        <v>1</v>
      </c>
      <c r="J151" s="1">
        <v>-1</v>
      </c>
      <c r="L151" s="1">
        <v>3600.1503560000001</v>
      </c>
      <c r="N151" s="1">
        <v>35.762372999999997</v>
      </c>
      <c r="P151" s="1">
        <v>3564.3587550000002</v>
      </c>
      <c r="R151" s="1">
        <v>100000</v>
      </c>
      <c r="S151" s="1">
        <v>58161.00058</v>
      </c>
      <c r="T151" s="1">
        <v>58161.00058</v>
      </c>
      <c r="U151" s="1">
        <v>50001</v>
      </c>
      <c r="V151" s="1">
        <v>8160.0005810000002</v>
      </c>
      <c r="W151" s="1">
        <v>-1</v>
      </c>
      <c r="X151" s="1">
        <v>-1</v>
      </c>
      <c r="Y151" s="1">
        <v>0</v>
      </c>
    </row>
    <row r="152" spans="1:25" x14ac:dyDescent="0.3">
      <c r="A152" t="s">
        <v>111</v>
      </c>
      <c r="B152">
        <v>9839.9993840000006</v>
      </c>
      <c r="C152">
        <v>5.0713000000000001E-2</v>
      </c>
      <c r="D152">
        <v>0</v>
      </c>
      <c r="E152">
        <v>0</v>
      </c>
      <c r="F152">
        <v>1</v>
      </c>
      <c r="G152">
        <v>-1</v>
      </c>
      <c r="H152">
        <v>1</v>
      </c>
      <c r="I152" t="s">
        <v>234</v>
      </c>
      <c r="J152">
        <v>-1</v>
      </c>
      <c r="L152">
        <v>3600.1085839999996</v>
      </c>
      <c r="M152" t="s">
        <v>239</v>
      </c>
      <c r="N152">
        <v>94.295096999999998</v>
      </c>
      <c r="O152" t="s">
        <v>234</v>
      </c>
      <c r="P152">
        <v>3505.7627739999998</v>
      </c>
      <c r="Q152" t="s">
        <v>234</v>
      </c>
      <c r="R152">
        <v>100000</v>
      </c>
      <c r="S152">
        <v>129841.9994</v>
      </c>
      <c r="T152">
        <v>129841.9994</v>
      </c>
      <c r="U152">
        <v>120002</v>
      </c>
      <c r="V152">
        <v>9839.9993840000006</v>
      </c>
      <c r="W152">
        <v>-1</v>
      </c>
      <c r="X152">
        <v>-1</v>
      </c>
      <c r="Y152">
        <v>0</v>
      </c>
    </row>
    <row r="153" spans="1:25" x14ac:dyDescent="0.3">
      <c r="A153" t="s">
        <v>121</v>
      </c>
      <c r="B153">
        <v>9259.9999250000001</v>
      </c>
      <c r="C153">
        <v>5.2961000000000001E-2</v>
      </c>
      <c r="E153">
        <v>0</v>
      </c>
      <c r="F153">
        <v>1</v>
      </c>
      <c r="G153">
        <v>-1</v>
      </c>
      <c r="H153">
        <v>1</v>
      </c>
      <c r="J153">
        <v>-1</v>
      </c>
      <c r="L153">
        <v>3600.1046600000004</v>
      </c>
      <c r="N153">
        <v>118.542423</v>
      </c>
      <c r="P153">
        <v>3481.5092760000002</v>
      </c>
      <c r="R153">
        <v>100000</v>
      </c>
      <c r="S153">
        <v>129262.9999</v>
      </c>
      <c r="T153">
        <v>129262.9999</v>
      </c>
      <c r="U153">
        <v>120003</v>
      </c>
      <c r="V153">
        <v>9259.9999250000001</v>
      </c>
      <c r="W153">
        <v>-1</v>
      </c>
      <c r="X153">
        <v>-1</v>
      </c>
      <c r="Y153">
        <v>0</v>
      </c>
    </row>
    <row r="154" spans="1:25" x14ac:dyDescent="0.3">
      <c r="A154" t="s">
        <v>122</v>
      </c>
      <c r="B154">
        <v>9226.6648409999998</v>
      </c>
      <c r="C154">
        <v>4.8769E-2</v>
      </c>
      <c r="E154">
        <v>0</v>
      </c>
      <c r="F154">
        <v>1</v>
      </c>
      <c r="G154">
        <v>-1</v>
      </c>
      <c r="H154">
        <v>1</v>
      </c>
      <c r="J154">
        <v>-1</v>
      </c>
      <c r="L154">
        <v>3600.103959</v>
      </c>
      <c r="N154">
        <v>128.08313100000001</v>
      </c>
      <c r="P154">
        <v>3471.9720590000002</v>
      </c>
      <c r="R154">
        <v>100000</v>
      </c>
      <c r="S154">
        <v>129230.6648</v>
      </c>
      <c r="T154">
        <v>129230.6648</v>
      </c>
      <c r="U154">
        <v>120004</v>
      </c>
      <c r="V154">
        <v>9226.6648409999998</v>
      </c>
      <c r="W154">
        <v>-1</v>
      </c>
      <c r="X154">
        <v>-1</v>
      </c>
      <c r="Y154">
        <v>0</v>
      </c>
    </row>
    <row r="155" spans="1:25" x14ac:dyDescent="0.3">
      <c r="A155" t="s">
        <v>131</v>
      </c>
      <c r="B155">
        <v>8873.3328039999997</v>
      </c>
      <c r="C155">
        <v>5.6623E-2</v>
      </c>
      <c r="E155">
        <v>0</v>
      </c>
      <c r="F155">
        <v>1</v>
      </c>
      <c r="G155">
        <v>-1</v>
      </c>
      <c r="H155">
        <v>1</v>
      </c>
      <c r="J155">
        <v>-1</v>
      </c>
      <c r="L155">
        <v>3600.126706</v>
      </c>
      <c r="N155">
        <v>194.993358</v>
      </c>
      <c r="P155">
        <v>3405.0767249999999</v>
      </c>
      <c r="R155">
        <v>100000</v>
      </c>
      <c r="S155">
        <v>128876.3328</v>
      </c>
      <c r="T155">
        <v>128876.3328</v>
      </c>
      <c r="U155">
        <v>120003</v>
      </c>
      <c r="V155">
        <v>8873.3328039999997</v>
      </c>
      <c r="W155">
        <v>-1</v>
      </c>
      <c r="X155">
        <v>-1</v>
      </c>
      <c r="Y155">
        <v>0</v>
      </c>
    </row>
    <row r="156" spans="1:25" x14ac:dyDescent="0.3">
      <c r="A156" t="s">
        <v>132</v>
      </c>
      <c r="B156">
        <v>9800.0013290000006</v>
      </c>
      <c r="C156">
        <v>4.9481999999999998E-2</v>
      </c>
      <c r="E156">
        <v>0</v>
      </c>
      <c r="F156">
        <v>1</v>
      </c>
      <c r="G156">
        <v>-1</v>
      </c>
      <c r="H156">
        <v>1</v>
      </c>
      <c r="J156">
        <v>-1</v>
      </c>
      <c r="L156">
        <v>3600.3911939999998</v>
      </c>
      <c r="N156">
        <v>196.25738699999999</v>
      </c>
      <c r="P156">
        <v>3404.0843249999998</v>
      </c>
      <c r="R156">
        <v>100000</v>
      </c>
      <c r="S156">
        <v>129803.0013</v>
      </c>
      <c r="T156">
        <v>129803.0013</v>
      </c>
      <c r="U156">
        <v>120003</v>
      </c>
      <c r="V156">
        <v>9800.0013290000006</v>
      </c>
      <c r="W156">
        <v>-1</v>
      </c>
      <c r="X156">
        <v>-1</v>
      </c>
      <c r="Y156">
        <v>0</v>
      </c>
    </row>
    <row r="157" spans="1:25" x14ac:dyDescent="0.3">
      <c r="A157" t="s">
        <v>134</v>
      </c>
      <c r="B157">
        <v>8806.6660109999993</v>
      </c>
      <c r="C157">
        <v>4.6933999999999997E-2</v>
      </c>
      <c r="E157">
        <v>0</v>
      </c>
      <c r="F157">
        <v>1</v>
      </c>
      <c r="G157">
        <v>-1</v>
      </c>
      <c r="H157">
        <v>1</v>
      </c>
      <c r="J157">
        <v>-1</v>
      </c>
      <c r="L157">
        <v>3600.0954380000003</v>
      </c>
      <c r="N157">
        <v>503.690629</v>
      </c>
      <c r="P157">
        <v>3096.3578750000001</v>
      </c>
      <c r="R157">
        <v>100000</v>
      </c>
      <c r="S157">
        <v>128808.666</v>
      </c>
      <c r="T157">
        <v>128808.666</v>
      </c>
      <c r="U157">
        <v>120002</v>
      </c>
      <c r="V157">
        <v>8806.6660109999993</v>
      </c>
      <c r="W157">
        <v>-1</v>
      </c>
      <c r="X157">
        <v>-1</v>
      </c>
      <c r="Y157">
        <v>0</v>
      </c>
    </row>
    <row r="158" spans="1:25" x14ac:dyDescent="0.3">
      <c r="A158" t="s">
        <v>135</v>
      </c>
      <c r="B158">
        <v>8840.0000689999997</v>
      </c>
      <c r="C158">
        <v>0.10453800000000001</v>
      </c>
      <c r="E158">
        <v>0</v>
      </c>
      <c r="F158">
        <v>1</v>
      </c>
      <c r="G158">
        <v>-1</v>
      </c>
      <c r="H158">
        <v>1</v>
      </c>
      <c r="J158">
        <v>-1</v>
      </c>
      <c r="L158">
        <v>3600.1771570000001</v>
      </c>
      <c r="N158">
        <v>223.61498499999999</v>
      </c>
      <c r="P158">
        <v>3376.4576339999999</v>
      </c>
      <c r="R158">
        <v>100000</v>
      </c>
      <c r="S158">
        <v>128842.0001</v>
      </c>
      <c r="T158">
        <v>128842.0001</v>
      </c>
      <c r="U158">
        <v>120002</v>
      </c>
      <c r="V158">
        <v>8840.0000689999997</v>
      </c>
      <c r="W158">
        <v>-1</v>
      </c>
      <c r="X158">
        <v>-1</v>
      </c>
      <c r="Y158">
        <v>0</v>
      </c>
    </row>
    <row r="159" spans="1:25" x14ac:dyDescent="0.3">
      <c r="A159" t="s">
        <v>136</v>
      </c>
      <c r="B159">
        <v>9700.000489</v>
      </c>
      <c r="C159">
        <v>6.8598000000000006E-2</v>
      </c>
      <c r="E159">
        <v>0</v>
      </c>
      <c r="F159">
        <v>1</v>
      </c>
      <c r="G159">
        <v>-1</v>
      </c>
      <c r="H159">
        <v>1</v>
      </c>
      <c r="J159">
        <v>-1</v>
      </c>
      <c r="L159">
        <v>3600.494365</v>
      </c>
      <c r="N159">
        <v>84.769113000000004</v>
      </c>
      <c r="P159">
        <v>3515.6566539999999</v>
      </c>
      <c r="R159">
        <v>100000</v>
      </c>
      <c r="S159">
        <v>119706.00049999999</v>
      </c>
      <c r="T159">
        <v>119706.00049999999</v>
      </c>
      <c r="U159">
        <v>110006</v>
      </c>
      <c r="V159">
        <v>9700.000489</v>
      </c>
      <c r="W159">
        <v>-1</v>
      </c>
      <c r="X159">
        <v>-1</v>
      </c>
      <c r="Y159">
        <v>0</v>
      </c>
    </row>
    <row r="160" spans="1:25" x14ac:dyDescent="0.3">
      <c r="A160" t="s">
        <v>137</v>
      </c>
      <c r="B160">
        <v>9159.9998410000007</v>
      </c>
      <c r="C160">
        <v>7.8728999999999993E-2</v>
      </c>
      <c r="E160">
        <v>0</v>
      </c>
      <c r="F160">
        <v>1</v>
      </c>
      <c r="G160">
        <v>-1</v>
      </c>
      <c r="H160">
        <v>1</v>
      </c>
      <c r="J160">
        <v>-1</v>
      </c>
      <c r="L160">
        <v>3600.198641</v>
      </c>
      <c r="N160">
        <v>86.893038000000004</v>
      </c>
      <c r="P160">
        <v>3513.226874</v>
      </c>
      <c r="R160">
        <v>100000</v>
      </c>
      <c r="S160">
        <v>129160.99980000001</v>
      </c>
      <c r="T160">
        <v>129160.99980000001</v>
      </c>
      <c r="U160">
        <v>120001</v>
      </c>
      <c r="V160">
        <v>9159.9998410000007</v>
      </c>
      <c r="W160">
        <v>-1</v>
      </c>
      <c r="X160">
        <v>-1</v>
      </c>
      <c r="Y160">
        <v>0</v>
      </c>
    </row>
    <row r="161" spans="1:25" x14ac:dyDescent="0.3">
      <c r="A161" t="s">
        <v>138</v>
      </c>
      <c r="B161">
        <v>9046.6648280000009</v>
      </c>
      <c r="C161">
        <v>4.879E-2</v>
      </c>
      <c r="E161">
        <v>0</v>
      </c>
      <c r="F161">
        <v>1</v>
      </c>
      <c r="G161">
        <v>-1</v>
      </c>
      <c r="H161">
        <v>1</v>
      </c>
      <c r="J161">
        <v>-1</v>
      </c>
      <c r="L161">
        <v>3600.1315180000001</v>
      </c>
      <c r="N161">
        <v>287.30438600000002</v>
      </c>
      <c r="P161">
        <v>3312.7783420000001</v>
      </c>
      <c r="R161">
        <v>100000</v>
      </c>
      <c r="S161">
        <v>129049.6648</v>
      </c>
      <c r="T161">
        <v>129049.6648</v>
      </c>
      <c r="U161">
        <v>120003</v>
      </c>
      <c r="V161">
        <v>9046.6648280000009</v>
      </c>
      <c r="W161">
        <v>-1</v>
      </c>
      <c r="X161">
        <v>-1</v>
      </c>
      <c r="Y161">
        <v>0</v>
      </c>
    </row>
    <row r="162" spans="1:25" x14ac:dyDescent="0.3">
      <c r="A162" t="s">
        <v>126</v>
      </c>
      <c r="B162">
        <v>9279.9989220000007</v>
      </c>
      <c r="C162">
        <v>5.0757999999999998E-2</v>
      </c>
      <c r="E162">
        <v>0</v>
      </c>
      <c r="F162">
        <v>1</v>
      </c>
      <c r="G162">
        <v>-1</v>
      </c>
      <c r="H162">
        <v>1</v>
      </c>
      <c r="J162">
        <v>-1</v>
      </c>
      <c r="L162">
        <v>3600.08673</v>
      </c>
      <c r="N162">
        <v>250.22184799999999</v>
      </c>
      <c r="P162">
        <v>3349.814124</v>
      </c>
      <c r="R162">
        <v>100000</v>
      </c>
      <c r="S162">
        <v>129283.99890000001</v>
      </c>
      <c r="T162">
        <v>129283.99890000001</v>
      </c>
      <c r="U162">
        <v>120004</v>
      </c>
      <c r="V162">
        <v>9279.9989220000007</v>
      </c>
      <c r="W162">
        <v>-1</v>
      </c>
      <c r="X162">
        <v>-1</v>
      </c>
      <c r="Y162">
        <v>0</v>
      </c>
    </row>
    <row r="163" spans="1:25" x14ac:dyDescent="0.3">
      <c r="A163" t="s">
        <v>127</v>
      </c>
      <c r="B163">
        <v>8840.0000689999997</v>
      </c>
      <c r="C163">
        <v>5.6349000000000003E-2</v>
      </c>
      <c r="E163">
        <v>0</v>
      </c>
      <c r="F163">
        <v>1</v>
      </c>
      <c r="G163">
        <v>-1</v>
      </c>
      <c r="H163">
        <v>1</v>
      </c>
      <c r="J163">
        <v>-1</v>
      </c>
      <c r="L163">
        <v>3600.1107379999999</v>
      </c>
      <c r="N163">
        <v>131.35549</v>
      </c>
      <c r="P163">
        <v>3468.698899</v>
      </c>
      <c r="R163">
        <v>100000</v>
      </c>
      <c r="S163">
        <v>128844.0001</v>
      </c>
      <c r="T163">
        <v>128844.0001</v>
      </c>
      <c r="U163">
        <v>120004</v>
      </c>
      <c r="V163">
        <v>8840.0000689999997</v>
      </c>
      <c r="W163">
        <v>-1</v>
      </c>
      <c r="X163">
        <v>-1</v>
      </c>
      <c r="Y163">
        <v>0</v>
      </c>
    </row>
    <row r="164" spans="1:25" x14ac:dyDescent="0.3">
      <c r="A164" t="s">
        <v>128</v>
      </c>
      <c r="B164">
        <v>9899.9984980000008</v>
      </c>
      <c r="C164">
        <v>4.7403000000000001E-2</v>
      </c>
      <c r="E164">
        <v>0</v>
      </c>
      <c r="F164">
        <v>1</v>
      </c>
      <c r="G164">
        <v>-1</v>
      </c>
      <c r="H164">
        <v>1</v>
      </c>
      <c r="J164">
        <v>-1</v>
      </c>
      <c r="L164">
        <v>3600.2118099999998</v>
      </c>
      <c r="N164">
        <v>214.171492</v>
      </c>
      <c r="P164">
        <v>3385.9929149999998</v>
      </c>
      <c r="R164">
        <v>100000</v>
      </c>
      <c r="S164">
        <v>129903.9985</v>
      </c>
      <c r="T164">
        <v>129903.9985</v>
      </c>
      <c r="U164">
        <v>120004</v>
      </c>
      <c r="V164">
        <v>9899.9984980000008</v>
      </c>
      <c r="W164">
        <v>-1</v>
      </c>
      <c r="X164">
        <v>-1</v>
      </c>
      <c r="Y164">
        <v>0</v>
      </c>
    </row>
    <row r="165" spans="1:25" x14ac:dyDescent="0.3">
      <c r="A165" t="s">
        <v>129</v>
      </c>
      <c r="B165">
        <v>9226.6654099999996</v>
      </c>
      <c r="C165">
        <v>5.8617000000000002E-2</v>
      </c>
      <c r="E165">
        <v>0</v>
      </c>
      <c r="F165">
        <v>1</v>
      </c>
      <c r="G165">
        <v>-1</v>
      </c>
      <c r="H165">
        <v>1</v>
      </c>
      <c r="J165">
        <v>-1</v>
      </c>
      <c r="L165">
        <v>3600.1104639999999</v>
      </c>
      <c r="N165">
        <v>420.71779299999997</v>
      </c>
      <c r="P165">
        <v>3179.3340539999999</v>
      </c>
      <c r="R165">
        <v>100000</v>
      </c>
      <c r="S165">
        <v>129228.6654</v>
      </c>
      <c r="T165">
        <v>129228.6654</v>
      </c>
      <c r="U165">
        <v>120002</v>
      </c>
      <c r="V165">
        <v>9226.6654099999996</v>
      </c>
      <c r="W165">
        <v>-1</v>
      </c>
      <c r="X165">
        <v>-1</v>
      </c>
      <c r="Y165">
        <v>0</v>
      </c>
    </row>
    <row r="166" spans="1:25" x14ac:dyDescent="0.3">
      <c r="A166" t="s">
        <v>123</v>
      </c>
      <c r="B166">
        <v>9199.9990849999995</v>
      </c>
      <c r="C166">
        <v>5.3027999999999999E-2</v>
      </c>
      <c r="E166">
        <v>0</v>
      </c>
      <c r="F166">
        <v>1</v>
      </c>
      <c r="G166">
        <v>-1</v>
      </c>
      <c r="H166">
        <v>1</v>
      </c>
      <c r="J166">
        <v>-1</v>
      </c>
      <c r="L166">
        <v>3600.3351720000001</v>
      </c>
      <c r="N166">
        <v>222.58876799999999</v>
      </c>
      <c r="P166">
        <v>3377.6933760000002</v>
      </c>
      <c r="R166">
        <v>100000</v>
      </c>
      <c r="S166">
        <v>129202.9991</v>
      </c>
      <c r="T166">
        <v>129202.9991</v>
      </c>
      <c r="U166">
        <v>120003</v>
      </c>
      <c r="V166">
        <v>9199.9990849999995</v>
      </c>
      <c r="W166">
        <v>-1</v>
      </c>
      <c r="X166">
        <v>-1</v>
      </c>
      <c r="Y166">
        <v>0</v>
      </c>
    </row>
    <row r="167" spans="1:25" x14ac:dyDescent="0.3">
      <c r="A167" t="s">
        <v>124</v>
      </c>
      <c r="B167">
        <v>9313.3338989999993</v>
      </c>
      <c r="C167">
        <v>5.2769000000000003E-2</v>
      </c>
      <c r="E167">
        <v>0</v>
      </c>
      <c r="F167">
        <v>1</v>
      </c>
      <c r="G167">
        <v>-1</v>
      </c>
      <c r="H167">
        <v>1</v>
      </c>
      <c r="J167">
        <v>-1</v>
      </c>
      <c r="L167">
        <v>3600.3556269999999</v>
      </c>
      <c r="N167">
        <v>107.704567</v>
      </c>
      <c r="P167">
        <v>3492.5982909999998</v>
      </c>
      <c r="R167">
        <v>100000</v>
      </c>
      <c r="S167">
        <v>129315.3339</v>
      </c>
      <c r="T167">
        <v>129315.3339</v>
      </c>
      <c r="U167">
        <v>120002</v>
      </c>
      <c r="V167">
        <v>9313.3338989999993</v>
      </c>
      <c r="W167">
        <v>-1</v>
      </c>
      <c r="X167">
        <v>-1</v>
      </c>
      <c r="Y167">
        <v>0</v>
      </c>
    </row>
    <row r="168" spans="1:25" x14ac:dyDescent="0.3">
      <c r="A168" t="s">
        <v>112</v>
      </c>
      <c r="B168">
        <v>9140.0006290000001</v>
      </c>
      <c r="C168">
        <v>5.2680999999999999E-2</v>
      </c>
      <c r="E168">
        <v>0</v>
      </c>
      <c r="F168">
        <v>1</v>
      </c>
      <c r="G168">
        <v>-1</v>
      </c>
      <c r="H168">
        <v>1</v>
      </c>
      <c r="J168">
        <v>-1</v>
      </c>
      <c r="L168">
        <v>3600.4861850000002</v>
      </c>
      <c r="N168">
        <v>126.06854300000001</v>
      </c>
      <c r="P168">
        <v>3474.3649610000002</v>
      </c>
      <c r="R168">
        <v>100000</v>
      </c>
      <c r="S168">
        <v>129146.0006</v>
      </c>
      <c r="T168">
        <v>129146.0006</v>
      </c>
      <c r="U168">
        <v>120006</v>
      </c>
      <c r="V168">
        <v>9140.0006290000001</v>
      </c>
      <c r="W168">
        <v>-1</v>
      </c>
      <c r="X168">
        <v>-1</v>
      </c>
      <c r="Y168">
        <v>0</v>
      </c>
    </row>
    <row r="169" spans="1:25" x14ac:dyDescent="0.3">
      <c r="A169" t="s">
        <v>113</v>
      </c>
      <c r="B169">
        <v>9599.9990049999997</v>
      </c>
      <c r="C169">
        <v>4.8346E-2</v>
      </c>
      <c r="E169">
        <v>0</v>
      </c>
      <c r="F169">
        <v>1</v>
      </c>
      <c r="G169">
        <v>-1</v>
      </c>
      <c r="H169">
        <v>1</v>
      </c>
      <c r="J169">
        <v>-1</v>
      </c>
      <c r="L169">
        <v>3600.6051579999998</v>
      </c>
      <c r="N169">
        <v>93.568313000000003</v>
      </c>
      <c r="P169">
        <v>3506.988499</v>
      </c>
      <c r="R169">
        <v>100000</v>
      </c>
      <c r="S169">
        <v>119601.999</v>
      </c>
      <c r="T169">
        <v>119601.999</v>
      </c>
      <c r="U169">
        <v>110002</v>
      </c>
      <c r="V169">
        <v>9599.9990049999997</v>
      </c>
      <c r="W169">
        <v>-1</v>
      </c>
      <c r="X169">
        <v>-1</v>
      </c>
      <c r="Y169">
        <v>0</v>
      </c>
    </row>
    <row r="170" spans="1:25" x14ac:dyDescent="0.3">
      <c r="A170" t="s">
        <v>114</v>
      </c>
      <c r="B170">
        <v>9219.999683</v>
      </c>
      <c r="C170">
        <v>5.9943999999999997E-2</v>
      </c>
      <c r="E170">
        <v>0</v>
      </c>
      <c r="F170">
        <v>1</v>
      </c>
      <c r="G170">
        <v>-1</v>
      </c>
      <c r="H170">
        <v>1</v>
      </c>
      <c r="J170">
        <v>-1</v>
      </c>
      <c r="L170">
        <v>3600.2154189999997</v>
      </c>
      <c r="N170">
        <v>128.65176</v>
      </c>
      <c r="P170">
        <v>3471.5037149999998</v>
      </c>
      <c r="R170">
        <v>100000</v>
      </c>
      <c r="S170">
        <v>129221.9997</v>
      </c>
      <c r="T170">
        <v>129221.9997</v>
      </c>
      <c r="U170">
        <v>120002</v>
      </c>
      <c r="V170">
        <v>9219.999683</v>
      </c>
      <c r="W170">
        <v>-1</v>
      </c>
      <c r="X170">
        <v>-1</v>
      </c>
      <c r="Y170">
        <v>0</v>
      </c>
    </row>
    <row r="171" spans="1:25" x14ac:dyDescent="0.3">
      <c r="A171" t="s">
        <v>115</v>
      </c>
      <c r="B171">
        <v>8806.6660109999993</v>
      </c>
      <c r="C171">
        <v>4.9396000000000002E-2</v>
      </c>
      <c r="E171">
        <v>0</v>
      </c>
      <c r="F171">
        <v>1</v>
      </c>
      <c r="G171">
        <v>-1</v>
      </c>
      <c r="H171">
        <v>1</v>
      </c>
      <c r="J171">
        <v>-1</v>
      </c>
      <c r="L171">
        <v>3600.3214830000002</v>
      </c>
      <c r="N171">
        <v>295.07045299999999</v>
      </c>
      <c r="P171">
        <v>3305.201634</v>
      </c>
      <c r="R171">
        <v>100000</v>
      </c>
      <c r="S171">
        <v>128809.666</v>
      </c>
      <c r="T171">
        <v>128809.666</v>
      </c>
      <c r="U171">
        <v>120003</v>
      </c>
      <c r="V171">
        <v>8806.6660109999993</v>
      </c>
      <c r="W171">
        <v>-1</v>
      </c>
      <c r="X171">
        <v>-1</v>
      </c>
      <c r="Y171">
        <v>0</v>
      </c>
    </row>
    <row r="172" spans="1:25" x14ac:dyDescent="0.3">
      <c r="A172" t="s">
        <v>116</v>
      </c>
      <c r="B172">
        <v>9213.3329869999998</v>
      </c>
      <c r="C172">
        <v>4.5518000000000003E-2</v>
      </c>
      <c r="E172">
        <v>0</v>
      </c>
      <c r="F172">
        <v>1</v>
      </c>
      <c r="G172">
        <v>-1</v>
      </c>
      <c r="H172">
        <v>1</v>
      </c>
      <c r="J172">
        <v>-1</v>
      </c>
      <c r="L172">
        <v>3600.0930989999997</v>
      </c>
      <c r="N172">
        <v>244.515266</v>
      </c>
      <c r="P172">
        <v>3355.5323149999999</v>
      </c>
      <c r="R172">
        <v>100000</v>
      </c>
      <c r="S172">
        <v>129214.333</v>
      </c>
      <c r="T172">
        <v>129214.333</v>
      </c>
      <c r="U172">
        <v>120001</v>
      </c>
      <c r="V172">
        <v>9213.3329869999998</v>
      </c>
      <c r="W172">
        <v>-1</v>
      </c>
      <c r="X172">
        <v>-1</v>
      </c>
      <c r="Y172">
        <v>0</v>
      </c>
    </row>
    <row r="173" spans="1:25" x14ac:dyDescent="0.3">
      <c r="A173" t="s">
        <v>117</v>
      </c>
      <c r="B173">
        <v>8666.6669550000006</v>
      </c>
      <c r="C173">
        <v>4.8994000000000003E-2</v>
      </c>
      <c r="E173">
        <v>0</v>
      </c>
      <c r="F173">
        <v>1</v>
      </c>
      <c r="G173">
        <v>-1</v>
      </c>
      <c r="H173">
        <v>1</v>
      </c>
      <c r="J173">
        <v>-1</v>
      </c>
      <c r="L173">
        <v>3600.1174660000001</v>
      </c>
      <c r="N173">
        <v>1214.474367</v>
      </c>
      <c r="P173">
        <v>2385.5941050000001</v>
      </c>
      <c r="R173">
        <v>100000</v>
      </c>
      <c r="S173">
        <v>128667.667</v>
      </c>
      <c r="T173">
        <v>128667.667</v>
      </c>
      <c r="U173">
        <v>120001</v>
      </c>
      <c r="V173">
        <v>8666.6669550000006</v>
      </c>
      <c r="W173">
        <v>-1</v>
      </c>
      <c r="X173">
        <v>-1</v>
      </c>
      <c r="Y173">
        <v>0</v>
      </c>
    </row>
    <row r="174" spans="1:25" x14ac:dyDescent="0.3">
      <c r="A174" t="s">
        <v>118</v>
      </c>
      <c r="B174">
        <v>8833.3335160000006</v>
      </c>
      <c r="C174">
        <v>4.2181999999999997E-2</v>
      </c>
      <c r="E174">
        <v>0</v>
      </c>
      <c r="F174">
        <v>1</v>
      </c>
      <c r="G174">
        <v>-1</v>
      </c>
      <c r="H174">
        <v>1</v>
      </c>
      <c r="J174">
        <v>-1</v>
      </c>
      <c r="L174">
        <v>3600.1061629999999</v>
      </c>
      <c r="N174">
        <v>727.94582100000002</v>
      </c>
      <c r="P174">
        <v>2872.11816</v>
      </c>
      <c r="R174">
        <v>100000</v>
      </c>
      <c r="S174">
        <v>128834.33349999999</v>
      </c>
      <c r="T174">
        <v>128834.33349999999</v>
      </c>
      <c r="U174">
        <v>120001</v>
      </c>
      <c r="V174">
        <v>8833.3335160000006</v>
      </c>
      <c r="W174">
        <v>-1</v>
      </c>
      <c r="X174">
        <v>-1</v>
      </c>
      <c r="Y174">
        <v>0</v>
      </c>
    </row>
    <row r="175" spans="1:25" x14ac:dyDescent="0.3">
      <c r="A175" t="s">
        <v>119</v>
      </c>
      <c r="B175">
        <v>9793.3333459999994</v>
      </c>
      <c r="C175">
        <v>5.8327999999999998E-2</v>
      </c>
      <c r="E175">
        <v>0</v>
      </c>
      <c r="F175">
        <v>1</v>
      </c>
      <c r="G175">
        <v>-1</v>
      </c>
      <c r="H175">
        <v>1</v>
      </c>
      <c r="J175">
        <v>-1</v>
      </c>
      <c r="L175">
        <v>3600.218914</v>
      </c>
      <c r="N175">
        <v>1256.1934759999999</v>
      </c>
      <c r="P175">
        <v>2343.96711</v>
      </c>
      <c r="R175">
        <v>100000</v>
      </c>
      <c r="S175">
        <v>129795.3333</v>
      </c>
      <c r="T175">
        <v>129795.3333</v>
      </c>
      <c r="U175">
        <v>120002</v>
      </c>
      <c r="V175">
        <v>9793.3333459999994</v>
      </c>
      <c r="W175">
        <v>-1</v>
      </c>
      <c r="X175">
        <v>-1</v>
      </c>
      <c r="Y175">
        <v>0</v>
      </c>
    </row>
    <row r="176" spans="1:25" x14ac:dyDescent="0.3">
      <c r="A176" t="s">
        <v>110</v>
      </c>
      <c r="B176">
        <v>9266.6668950000003</v>
      </c>
      <c r="C176">
        <v>5.4614999999999997E-2</v>
      </c>
      <c r="E176">
        <v>0</v>
      </c>
      <c r="F176">
        <v>-1</v>
      </c>
      <c r="G176">
        <v>-1</v>
      </c>
      <c r="H176">
        <v>1</v>
      </c>
      <c r="J176">
        <v>-1</v>
      </c>
      <c r="L176">
        <v>3600.0980070000001</v>
      </c>
      <c r="N176">
        <v>3600.043392</v>
      </c>
      <c r="P176">
        <v>0</v>
      </c>
      <c r="R176">
        <v>100000</v>
      </c>
      <c r="S176">
        <v>1E-3</v>
      </c>
      <c r="T176">
        <v>-1</v>
      </c>
      <c r="U176">
        <v>-1</v>
      </c>
      <c r="V176">
        <v>-1</v>
      </c>
      <c r="W176">
        <v>-1</v>
      </c>
      <c r="X176">
        <v>-1</v>
      </c>
      <c r="Y176">
        <v>0</v>
      </c>
    </row>
    <row r="177" spans="1:25" x14ac:dyDescent="0.3">
      <c r="A177" t="s">
        <v>120</v>
      </c>
      <c r="B177">
        <v>9360.0000080000009</v>
      </c>
      <c r="C177">
        <v>4.6337000000000003E-2</v>
      </c>
      <c r="E177">
        <v>0</v>
      </c>
      <c r="F177">
        <v>-1</v>
      </c>
      <c r="G177">
        <v>-1</v>
      </c>
      <c r="H177">
        <v>1</v>
      </c>
      <c r="J177">
        <v>-1</v>
      </c>
      <c r="L177">
        <v>3600.1100230000002</v>
      </c>
      <c r="N177">
        <v>3600.063686</v>
      </c>
      <c r="P177">
        <v>0</v>
      </c>
      <c r="R177">
        <v>100000</v>
      </c>
      <c r="S177">
        <v>1E-3</v>
      </c>
      <c r="T177">
        <v>-1</v>
      </c>
      <c r="U177">
        <v>-1</v>
      </c>
      <c r="V177">
        <v>-1</v>
      </c>
      <c r="W177">
        <v>-1</v>
      </c>
      <c r="X177">
        <v>-1</v>
      </c>
      <c r="Y177">
        <v>0</v>
      </c>
    </row>
    <row r="178" spans="1:25" x14ac:dyDescent="0.3">
      <c r="A178" t="s">
        <v>125</v>
      </c>
      <c r="B178">
        <v>9599.9998720000003</v>
      </c>
      <c r="C178">
        <v>6.9071999999999995E-2</v>
      </c>
      <c r="E178">
        <v>0</v>
      </c>
      <c r="F178">
        <v>-1</v>
      </c>
      <c r="G178">
        <v>-1</v>
      </c>
      <c r="H178">
        <v>1</v>
      </c>
      <c r="J178">
        <v>-1</v>
      </c>
      <c r="L178">
        <v>3600.1919849999999</v>
      </c>
      <c r="N178">
        <v>3600.1229130000002</v>
      </c>
      <c r="P178">
        <v>0</v>
      </c>
      <c r="R178">
        <v>100000</v>
      </c>
      <c r="S178">
        <v>1E-3</v>
      </c>
      <c r="T178">
        <v>-1</v>
      </c>
      <c r="U178">
        <v>-1</v>
      </c>
      <c r="V178">
        <v>-1</v>
      </c>
      <c r="W178">
        <v>-1</v>
      </c>
      <c r="X178">
        <v>-1</v>
      </c>
      <c r="Y178">
        <v>0</v>
      </c>
    </row>
    <row r="179" spans="1:25" x14ac:dyDescent="0.3">
      <c r="A179" t="s">
        <v>130</v>
      </c>
      <c r="B179">
        <v>9286.6645929999995</v>
      </c>
      <c r="C179">
        <v>6.0241999999999997E-2</v>
      </c>
      <c r="E179">
        <v>0</v>
      </c>
      <c r="F179">
        <v>-1</v>
      </c>
      <c r="G179">
        <v>-1</v>
      </c>
      <c r="H179">
        <v>1</v>
      </c>
      <c r="J179">
        <v>-1</v>
      </c>
      <c r="L179">
        <v>3600.1189869999998</v>
      </c>
      <c r="N179">
        <v>3600.0587449999998</v>
      </c>
      <c r="P179">
        <v>0</v>
      </c>
      <c r="R179">
        <v>100000</v>
      </c>
      <c r="S179">
        <v>1E-3</v>
      </c>
      <c r="T179">
        <v>-1</v>
      </c>
      <c r="U179">
        <v>-1</v>
      </c>
      <c r="V179">
        <v>-1</v>
      </c>
      <c r="W179">
        <v>-1</v>
      </c>
      <c r="X179">
        <v>-1</v>
      </c>
      <c r="Y179">
        <v>0</v>
      </c>
    </row>
    <row r="180" spans="1:25" x14ac:dyDescent="0.3">
      <c r="A180" t="s">
        <v>133</v>
      </c>
      <c r="B180">
        <v>9179.9993429999995</v>
      </c>
      <c r="C180">
        <v>5.4199999999999998E-2</v>
      </c>
      <c r="E180">
        <v>0</v>
      </c>
      <c r="F180">
        <v>-1</v>
      </c>
      <c r="G180">
        <v>-1</v>
      </c>
      <c r="H180">
        <v>1</v>
      </c>
      <c r="J180">
        <v>-1</v>
      </c>
      <c r="L180">
        <v>3600.1646260000002</v>
      </c>
      <c r="N180">
        <v>3600.1104260000002</v>
      </c>
      <c r="P180">
        <v>0</v>
      </c>
      <c r="R180">
        <v>100000</v>
      </c>
      <c r="S180">
        <v>1E-3</v>
      </c>
      <c r="T180">
        <v>-1</v>
      </c>
      <c r="U180">
        <v>-1</v>
      </c>
      <c r="V180">
        <v>-1</v>
      </c>
      <c r="W180">
        <v>-1</v>
      </c>
      <c r="X180">
        <v>-1</v>
      </c>
      <c r="Y180">
        <v>0</v>
      </c>
    </row>
    <row r="181" spans="1:25" s="1" customFormat="1" x14ac:dyDescent="0.3">
      <c r="A181" s="1" t="s">
        <v>139</v>
      </c>
      <c r="B181" s="1">
        <v>8840.0000689999997</v>
      </c>
      <c r="C181" s="1">
        <v>5.5176999999999997E-2</v>
      </c>
      <c r="E181" s="1">
        <v>0</v>
      </c>
      <c r="F181" s="1">
        <v>-1</v>
      </c>
      <c r="G181" s="1">
        <v>-1</v>
      </c>
      <c r="H181" s="1">
        <v>1</v>
      </c>
      <c r="J181" s="1">
        <v>-1</v>
      </c>
      <c r="L181" s="1">
        <v>3600.1107360000001</v>
      </c>
      <c r="N181" s="1">
        <v>3600.0555589999999</v>
      </c>
      <c r="P181" s="1">
        <v>0</v>
      </c>
      <c r="R181" s="1">
        <v>100000</v>
      </c>
      <c r="S181" s="1">
        <v>1E-3</v>
      </c>
      <c r="T181" s="1">
        <v>-1</v>
      </c>
      <c r="U181" s="1">
        <v>-1</v>
      </c>
      <c r="V181" s="1">
        <v>-1</v>
      </c>
      <c r="W181" s="1">
        <v>-1</v>
      </c>
      <c r="X181" s="1">
        <v>-1</v>
      </c>
      <c r="Y181" s="1">
        <v>0</v>
      </c>
    </row>
    <row r="182" spans="1:25" x14ac:dyDescent="0.3">
      <c r="A182" t="s">
        <v>201</v>
      </c>
      <c r="B182">
        <v>10817.143169999999</v>
      </c>
      <c r="C182">
        <v>5.5882000000000001E-2</v>
      </c>
      <c r="D182">
        <v>0</v>
      </c>
      <c r="E182">
        <v>0</v>
      </c>
      <c r="F182">
        <v>1</v>
      </c>
      <c r="G182">
        <v>-1</v>
      </c>
      <c r="H182">
        <v>1</v>
      </c>
      <c r="I182" t="s">
        <v>234</v>
      </c>
      <c r="J182">
        <v>-1</v>
      </c>
      <c r="L182">
        <v>3600.878146</v>
      </c>
      <c r="M182" t="s">
        <v>239</v>
      </c>
      <c r="N182">
        <v>136.20259300000001</v>
      </c>
      <c r="O182" t="s">
        <v>234</v>
      </c>
      <c r="P182">
        <v>3464.6196709999999</v>
      </c>
      <c r="Q182" t="s">
        <v>234</v>
      </c>
      <c r="R182">
        <v>100000</v>
      </c>
      <c r="S182">
        <v>80819.143169999996</v>
      </c>
      <c r="T182">
        <v>80819.143169999996</v>
      </c>
      <c r="U182">
        <v>70002</v>
      </c>
      <c r="V182">
        <v>10817.143169999999</v>
      </c>
      <c r="W182">
        <v>-1</v>
      </c>
      <c r="X182">
        <v>-1</v>
      </c>
      <c r="Y182">
        <v>0</v>
      </c>
    </row>
    <row r="183" spans="1:25" x14ac:dyDescent="0.3">
      <c r="A183" t="s">
        <v>214</v>
      </c>
      <c r="B183">
        <v>10662.855100000001</v>
      </c>
      <c r="C183">
        <v>4.2729000000000003E-2</v>
      </c>
      <c r="E183">
        <v>0</v>
      </c>
      <c r="F183">
        <v>1</v>
      </c>
      <c r="G183">
        <v>-1</v>
      </c>
      <c r="H183">
        <v>1</v>
      </c>
      <c r="J183">
        <v>-1</v>
      </c>
      <c r="L183">
        <v>3603.756112</v>
      </c>
      <c r="N183">
        <v>309.37083799999999</v>
      </c>
      <c r="P183">
        <v>3294.342545</v>
      </c>
      <c r="R183">
        <v>100000</v>
      </c>
      <c r="S183">
        <v>80664.855100000001</v>
      </c>
      <c r="T183">
        <v>80664.855100000001</v>
      </c>
      <c r="U183">
        <v>70002</v>
      </c>
      <c r="V183">
        <v>10662.855100000001</v>
      </c>
      <c r="W183">
        <v>-1</v>
      </c>
      <c r="X183">
        <v>-1</v>
      </c>
      <c r="Y183">
        <v>0</v>
      </c>
    </row>
    <row r="184" spans="1:25" x14ac:dyDescent="0.3">
      <c r="A184" t="s">
        <v>220</v>
      </c>
      <c r="B184">
        <v>10828.573420000001</v>
      </c>
      <c r="C184">
        <v>6.6210000000000005E-2</v>
      </c>
      <c r="E184">
        <v>0</v>
      </c>
      <c r="F184">
        <v>1</v>
      </c>
      <c r="G184">
        <v>-1</v>
      </c>
      <c r="H184">
        <v>1</v>
      </c>
      <c r="J184">
        <v>-1</v>
      </c>
      <c r="L184">
        <v>3601.0265220000001</v>
      </c>
      <c r="N184">
        <v>136.2825</v>
      </c>
      <c r="P184">
        <v>3464.6778119999999</v>
      </c>
      <c r="R184">
        <v>100000</v>
      </c>
      <c r="S184">
        <v>80830.573420000001</v>
      </c>
      <c r="T184">
        <v>80830.573420000001</v>
      </c>
      <c r="U184">
        <v>70002</v>
      </c>
      <c r="V184">
        <v>10828.573420000001</v>
      </c>
      <c r="W184">
        <v>-1</v>
      </c>
      <c r="X184">
        <v>-1</v>
      </c>
      <c r="Y184">
        <v>0</v>
      </c>
    </row>
    <row r="185" spans="1:25" x14ac:dyDescent="0.3">
      <c r="A185" t="s">
        <v>227</v>
      </c>
      <c r="B185">
        <v>10782.858319999999</v>
      </c>
      <c r="C185">
        <v>0.11681</v>
      </c>
      <c r="E185">
        <v>0</v>
      </c>
      <c r="F185">
        <v>1</v>
      </c>
      <c r="G185">
        <v>-1</v>
      </c>
      <c r="H185">
        <v>1</v>
      </c>
      <c r="J185">
        <v>-1</v>
      </c>
      <c r="L185">
        <v>3603.3049390000001</v>
      </c>
      <c r="N185">
        <v>217.091902</v>
      </c>
      <c r="P185">
        <v>3386.096227</v>
      </c>
      <c r="R185">
        <v>100000</v>
      </c>
      <c r="S185">
        <v>80783.858319999999</v>
      </c>
      <c r="T185">
        <v>80783.858319999999</v>
      </c>
      <c r="U185">
        <v>70001</v>
      </c>
      <c r="V185">
        <v>10782.858319999999</v>
      </c>
      <c r="W185">
        <v>-1</v>
      </c>
      <c r="X185">
        <v>-1</v>
      </c>
      <c r="Y185">
        <v>0</v>
      </c>
    </row>
    <row r="186" spans="1:25" x14ac:dyDescent="0.3">
      <c r="A186" t="s">
        <v>228</v>
      </c>
      <c r="B186">
        <v>10742.855680000001</v>
      </c>
      <c r="C186">
        <v>6.2482000000000003E-2</v>
      </c>
      <c r="E186">
        <v>0</v>
      </c>
      <c r="F186">
        <v>1</v>
      </c>
      <c r="G186">
        <v>-1</v>
      </c>
      <c r="H186">
        <v>1</v>
      </c>
      <c r="J186">
        <v>-1</v>
      </c>
      <c r="L186">
        <v>3601.018568</v>
      </c>
      <c r="N186">
        <v>1757.0805869999999</v>
      </c>
      <c r="P186">
        <v>1843.875499</v>
      </c>
      <c r="R186">
        <v>100000</v>
      </c>
      <c r="S186">
        <v>90743.855679999993</v>
      </c>
      <c r="T186">
        <v>90743.855679999993</v>
      </c>
      <c r="U186">
        <v>80001</v>
      </c>
      <c r="V186">
        <v>10742.855680000001</v>
      </c>
      <c r="W186">
        <v>-1</v>
      </c>
      <c r="X186">
        <v>-1</v>
      </c>
      <c r="Y186">
        <v>0</v>
      </c>
    </row>
    <row r="187" spans="1:25" x14ac:dyDescent="0.3">
      <c r="A187" t="s">
        <v>221</v>
      </c>
      <c r="B187">
        <v>10708.570820000001</v>
      </c>
      <c r="C187">
        <v>4.5083999999999999E-2</v>
      </c>
      <c r="E187">
        <v>0</v>
      </c>
      <c r="F187">
        <v>1</v>
      </c>
      <c r="G187">
        <v>-1</v>
      </c>
      <c r="H187">
        <v>1</v>
      </c>
      <c r="J187">
        <v>-1</v>
      </c>
      <c r="L187">
        <v>3601.962149</v>
      </c>
      <c r="N187">
        <v>665.02568199999996</v>
      </c>
      <c r="P187">
        <v>2936.8913830000001</v>
      </c>
      <c r="R187">
        <v>100000</v>
      </c>
      <c r="S187">
        <v>90709.570819999994</v>
      </c>
      <c r="T187">
        <v>90709.570819999994</v>
      </c>
      <c r="U187">
        <v>80001</v>
      </c>
      <c r="V187">
        <v>10708.570820000001</v>
      </c>
      <c r="W187">
        <v>-1</v>
      </c>
      <c r="X187">
        <v>-1</v>
      </c>
      <c r="Y187">
        <v>0</v>
      </c>
    </row>
    <row r="188" spans="1:25" x14ac:dyDescent="0.3">
      <c r="A188" t="s">
        <v>222</v>
      </c>
      <c r="B188">
        <v>10674.28378</v>
      </c>
      <c r="C188">
        <v>4.4824999999999997E-2</v>
      </c>
      <c r="E188">
        <v>0</v>
      </c>
      <c r="F188">
        <v>1</v>
      </c>
      <c r="G188">
        <v>-1</v>
      </c>
      <c r="H188">
        <v>1</v>
      </c>
      <c r="J188">
        <v>-1</v>
      </c>
      <c r="L188">
        <v>3605.2786299999998</v>
      </c>
      <c r="N188">
        <v>137.43740199999999</v>
      </c>
      <c r="P188">
        <v>3467.7964029999998</v>
      </c>
      <c r="R188">
        <v>100000</v>
      </c>
      <c r="S188">
        <v>80676.283779999998</v>
      </c>
      <c r="T188">
        <v>80676.283779999998</v>
      </c>
      <c r="U188">
        <v>70002</v>
      </c>
      <c r="V188">
        <v>10674.28378</v>
      </c>
      <c r="W188">
        <v>-1</v>
      </c>
      <c r="X188">
        <v>-1</v>
      </c>
      <c r="Y188">
        <v>0</v>
      </c>
    </row>
    <row r="189" spans="1:25" x14ac:dyDescent="0.3">
      <c r="A189" t="s">
        <v>223</v>
      </c>
      <c r="B189">
        <v>10844.28679</v>
      </c>
      <c r="C189">
        <v>4.6282999999999998E-2</v>
      </c>
      <c r="E189">
        <v>0</v>
      </c>
      <c r="F189">
        <v>1</v>
      </c>
      <c r="G189">
        <v>-1</v>
      </c>
      <c r="H189">
        <v>1</v>
      </c>
      <c r="J189">
        <v>-1</v>
      </c>
      <c r="L189">
        <v>3600.3421950000002</v>
      </c>
      <c r="N189">
        <v>128.50090399999999</v>
      </c>
      <c r="P189">
        <v>3471.7950080000001</v>
      </c>
      <c r="R189">
        <v>100000</v>
      </c>
      <c r="S189">
        <v>80845.286789999998</v>
      </c>
      <c r="T189">
        <v>80845.286789999998</v>
      </c>
      <c r="U189">
        <v>70001</v>
      </c>
      <c r="V189">
        <v>10844.28679</v>
      </c>
      <c r="W189">
        <v>-1</v>
      </c>
      <c r="X189">
        <v>-1</v>
      </c>
      <c r="Y189">
        <v>0</v>
      </c>
    </row>
    <row r="190" spans="1:25" x14ac:dyDescent="0.3">
      <c r="A190" t="s">
        <v>224</v>
      </c>
      <c r="B190">
        <v>10781.428470000001</v>
      </c>
      <c r="C190">
        <v>6.4116000000000006E-2</v>
      </c>
      <c r="E190">
        <v>0</v>
      </c>
      <c r="F190">
        <v>1</v>
      </c>
      <c r="G190">
        <v>-1</v>
      </c>
      <c r="H190">
        <v>1</v>
      </c>
      <c r="J190">
        <v>-1</v>
      </c>
      <c r="L190">
        <v>3600.9501369999998</v>
      </c>
      <c r="N190">
        <v>317.14774</v>
      </c>
      <c r="P190">
        <v>3283.7382809999999</v>
      </c>
      <c r="R190">
        <v>100000</v>
      </c>
      <c r="S190">
        <v>80785.428469999999</v>
      </c>
      <c r="T190">
        <v>80785.428469999999</v>
      </c>
      <c r="U190">
        <v>70004</v>
      </c>
      <c r="V190">
        <v>10781.428470000001</v>
      </c>
      <c r="W190">
        <v>-1</v>
      </c>
      <c r="X190">
        <v>-1</v>
      </c>
      <c r="Y190">
        <v>0</v>
      </c>
    </row>
    <row r="191" spans="1:25" x14ac:dyDescent="0.3">
      <c r="A191" t="s">
        <v>225</v>
      </c>
      <c r="B191">
        <v>10781.428470000001</v>
      </c>
      <c r="C191">
        <v>7.1452000000000002E-2</v>
      </c>
      <c r="E191">
        <v>0</v>
      </c>
      <c r="F191">
        <v>1</v>
      </c>
      <c r="G191">
        <v>-1</v>
      </c>
      <c r="H191">
        <v>1</v>
      </c>
      <c r="J191">
        <v>-1</v>
      </c>
      <c r="L191">
        <v>3601.6998160000003</v>
      </c>
      <c r="N191">
        <v>254.04477299999999</v>
      </c>
      <c r="P191">
        <v>3347.5835910000001</v>
      </c>
      <c r="R191">
        <v>100000</v>
      </c>
      <c r="S191">
        <v>80785.428469999999</v>
      </c>
      <c r="T191">
        <v>80785.428469999999</v>
      </c>
      <c r="U191">
        <v>70004</v>
      </c>
      <c r="V191">
        <v>10781.428470000001</v>
      </c>
      <c r="W191">
        <v>-1</v>
      </c>
      <c r="X191">
        <v>-1</v>
      </c>
      <c r="Y191">
        <v>0</v>
      </c>
    </row>
    <row r="192" spans="1:25" x14ac:dyDescent="0.3">
      <c r="A192" t="s">
        <v>218</v>
      </c>
      <c r="B192">
        <v>10772.8603</v>
      </c>
      <c r="C192">
        <v>6.0891000000000001E-2</v>
      </c>
      <c r="E192">
        <v>0</v>
      </c>
      <c r="F192">
        <v>1</v>
      </c>
      <c r="G192">
        <v>-1</v>
      </c>
      <c r="H192">
        <v>1</v>
      </c>
      <c r="J192">
        <v>-1</v>
      </c>
      <c r="L192">
        <v>3601.803703</v>
      </c>
      <c r="N192">
        <v>194.903175</v>
      </c>
      <c r="P192">
        <v>3406.839637</v>
      </c>
      <c r="R192">
        <v>100000</v>
      </c>
      <c r="S192">
        <v>80774.8603</v>
      </c>
      <c r="T192">
        <v>80774.8603</v>
      </c>
      <c r="U192">
        <v>70002</v>
      </c>
      <c r="V192">
        <v>10772.8603</v>
      </c>
      <c r="W192">
        <v>-1</v>
      </c>
      <c r="X192">
        <v>-1</v>
      </c>
      <c r="Y192">
        <v>0</v>
      </c>
    </row>
    <row r="193" spans="1:25" x14ac:dyDescent="0.3">
      <c r="A193" t="s">
        <v>215</v>
      </c>
      <c r="B193">
        <v>11285.71544</v>
      </c>
      <c r="C193">
        <v>5.8608E-2</v>
      </c>
      <c r="E193">
        <v>0</v>
      </c>
      <c r="F193">
        <v>1</v>
      </c>
      <c r="G193">
        <v>-1</v>
      </c>
      <c r="H193">
        <v>1</v>
      </c>
      <c r="J193">
        <v>-1</v>
      </c>
      <c r="L193">
        <v>3603.467255</v>
      </c>
      <c r="N193">
        <v>125.230602</v>
      </c>
      <c r="P193">
        <v>3478.1780450000001</v>
      </c>
      <c r="R193">
        <v>100000</v>
      </c>
      <c r="S193">
        <v>81288.71544</v>
      </c>
      <c r="T193">
        <v>81288.71544</v>
      </c>
      <c r="U193">
        <v>70003</v>
      </c>
      <c r="V193">
        <v>11285.71544</v>
      </c>
      <c r="W193">
        <v>-1</v>
      </c>
      <c r="X193">
        <v>-1</v>
      </c>
      <c r="Y193">
        <v>0</v>
      </c>
    </row>
    <row r="194" spans="1:25" x14ac:dyDescent="0.3">
      <c r="A194" t="s">
        <v>209</v>
      </c>
      <c r="B194">
        <v>10755.713110000001</v>
      </c>
      <c r="C194">
        <v>6.7195000000000005E-2</v>
      </c>
      <c r="E194">
        <v>0</v>
      </c>
      <c r="F194">
        <v>1</v>
      </c>
      <c r="G194">
        <v>-1</v>
      </c>
      <c r="H194">
        <v>1</v>
      </c>
      <c r="J194">
        <v>-1</v>
      </c>
      <c r="L194">
        <v>3601.519119</v>
      </c>
      <c r="N194">
        <v>159.08320800000001</v>
      </c>
      <c r="P194">
        <v>3442.3687159999999</v>
      </c>
      <c r="R194">
        <v>100000</v>
      </c>
      <c r="S194">
        <v>80757.713109999997</v>
      </c>
      <c r="T194">
        <v>80757.713109999997</v>
      </c>
      <c r="U194">
        <v>70002</v>
      </c>
      <c r="V194">
        <v>10755.713110000001</v>
      </c>
      <c r="W194">
        <v>-1</v>
      </c>
      <c r="X194">
        <v>-1</v>
      </c>
      <c r="Y194">
        <v>0</v>
      </c>
    </row>
    <row r="195" spans="1:25" x14ac:dyDescent="0.3">
      <c r="A195" t="s">
        <v>210</v>
      </c>
      <c r="B195">
        <v>10795.715039999999</v>
      </c>
      <c r="C195">
        <v>5.8241000000000001E-2</v>
      </c>
      <c r="E195">
        <v>0</v>
      </c>
      <c r="F195">
        <v>1</v>
      </c>
      <c r="G195">
        <v>-1</v>
      </c>
      <c r="H195">
        <v>1</v>
      </c>
      <c r="J195">
        <v>-1</v>
      </c>
      <c r="L195">
        <v>3601.2707149999997</v>
      </c>
      <c r="N195">
        <v>163.71381099999999</v>
      </c>
      <c r="P195">
        <v>3437.4986629999999</v>
      </c>
      <c r="R195">
        <v>100000</v>
      </c>
      <c r="S195">
        <v>80797.715039999995</v>
      </c>
      <c r="T195">
        <v>80797.715039999995</v>
      </c>
      <c r="U195">
        <v>70002</v>
      </c>
      <c r="V195">
        <v>10795.715039999999</v>
      </c>
      <c r="W195">
        <v>-1</v>
      </c>
      <c r="X195">
        <v>-1</v>
      </c>
      <c r="Y195">
        <v>0</v>
      </c>
    </row>
    <row r="196" spans="1:25" x14ac:dyDescent="0.3">
      <c r="A196" t="s">
        <v>211</v>
      </c>
      <c r="B196">
        <v>10834.28537</v>
      </c>
      <c r="C196">
        <v>5.8906E-2</v>
      </c>
      <c r="E196">
        <v>0</v>
      </c>
      <c r="F196">
        <v>1</v>
      </c>
      <c r="G196">
        <v>-1</v>
      </c>
      <c r="H196">
        <v>1</v>
      </c>
      <c r="J196">
        <v>-1</v>
      </c>
      <c r="L196">
        <v>3604.9686689999999</v>
      </c>
      <c r="N196">
        <v>133.95530600000001</v>
      </c>
      <c r="P196">
        <v>3470.9544569999998</v>
      </c>
      <c r="R196">
        <v>100000</v>
      </c>
      <c r="S196">
        <v>80836.285369999998</v>
      </c>
      <c r="T196">
        <v>80836.285369999998</v>
      </c>
      <c r="U196">
        <v>70002</v>
      </c>
      <c r="V196">
        <v>10834.28537</v>
      </c>
      <c r="W196">
        <v>-1</v>
      </c>
      <c r="X196">
        <v>-1</v>
      </c>
      <c r="Y196">
        <v>0</v>
      </c>
    </row>
    <row r="197" spans="1:25" x14ac:dyDescent="0.3">
      <c r="A197" t="s">
        <v>212</v>
      </c>
      <c r="B197">
        <v>10777.14323</v>
      </c>
      <c r="C197">
        <v>5.7674999999999997E-2</v>
      </c>
      <c r="E197">
        <v>0</v>
      </c>
      <c r="F197">
        <v>1</v>
      </c>
      <c r="G197">
        <v>-1</v>
      </c>
      <c r="H197">
        <v>1</v>
      </c>
      <c r="J197">
        <v>-1</v>
      </c>
      <c r="L197">
        <v>3601.5449680000002</v>
      </c>
      <c r="N197">
        <v>120.39302000000001</v>
      </c>
      <c r="P197">
        <v>3481.0942730000002</v>
      </c>
      <c r="R197">
        <v>100000</v>
      </c>
      <c r="S197">
        <v>80778.143230000001</v>
      </c>
      <c r="T197">
        <v>80778.143230000001</v>
      </c>
      <c r="U197">
        <v>70001</v>
      </c>
      <c r="V197">
        <v>10777.14323</v>
      </c>
      <c r="W197">
        <v>-1</v>
      </c>
      <c r="X197">
        <v>-1</v>
      </c>
      <c r="Y197">
        <v>0</v>
      </c>
    </row>
    <row r="198" spans="1:25" x14ac:dyDescent="0.3">
      <c r="A198" t="s">
        <v>204</v>
      </c>
      <c r="B198">
        <v>11434.286190000001</v>
      </c>
      <c r="C198">
        <v>4.8034E-2</v>
      </c>
      <c r="E198">
        <v>0</v>
      </c>
      <c r="F198">
        <v>1</v>
      </c>
      <c r="G198">
        <v>-1</v>
      </c>
      <c r="H198">
        <v>1</v>
      </c>
      <c r="J198">
        <v>-1</v>
      </c>
      <c r="L198">
        <v>3601.0951650000002</v>
      </c>
      <c r="N198">
        <v>272.82178800000003</v>
      </c>
      <c r="P198">
        <v>3328.2253430000001</v>
      </c>
      <c r="R198">
        <v>100000</v>
      </c>
      <c r="S198">
        <v>81437.286189999999</v>
      </c>
      <c r="T198">
        <v>81437.286189999999</v>
      </c>
      <c r="U198">
        <v>70003</v>
      </c>
      <c r="V198">
        <v>11434.286190000001</v>
      </c>
      <c r="W198">
        <v>-1</v>
      </c>
      <c r="X198">
        <v>-1</v>
      </c>
      <c r="Y198">
        <v>0</v>
      </c>
    </row>
    <row r="199" spans="1:25" x14ac:dyDescent="0.3">
      <c r="A199" t="s">
        <v>205</v>
      </c>
      <c r="B199">
        <v>10788.57303</v>
      </c>
      <c r="C199">
        <v>5.654E-2</v>
      </c>
      <c r="E199">
        <v>0</v>
      </c>
      <c r="F199">
        <v>1</v>
      </c>
      <c r="G199">
        <v>-1</v>
      </c>
      <c r="H199">
        <v>1</v>
      </c>
      <c r="J199">
        <v>-1</v>
      </c>
      <c r="L199">
        <v>3601.738327</v>
      </c>
      <c r="N199">
        <v>117.694936</v>
      </c>
      <c r="P199">
        <v>3483.9868510000001</v>
      </c>
      <c r="R199">
        <v>100000</v>
      </c>
      <c r="S199">
        <v>80789.57303</v>
      </c>
      <c r="T199">
        <v>80789.57303</v>
      </c>
      <c r="U199">
        <v>70001</v>
      </c>
      <c r="V199">
        <v>10788.57303</v>
      </c>
      <c r="W199">
        <v>-1</v>
      </c>
      <c r="X199">
        <v>-1</v>
      </c>
      <c r="Y199">
        <v>0</v>
      </c>
    </row>
    <row r="200" spans="1:25" x14ac:dyDescent="0.3">
      <c r="A200" t="s">
        <v>206</v>
      </c>
      <c r="B200">
        <v>10812.856610000001</v>
      </c>
      <c r="C200">
        <v>6.5325999999999995E-2</v>
      </c>
      <c r="E200">
        <v>0</v>
      </c>
      <c r="F200">
        <v>1</v>
      </c>
      <c r="G200">
        <v>-1</v>
      </c>
      <c r="H200">
        <v>1</v>
      </c>
      <c r="J200">
        <v>-1</v>
      </c>
      <c r="L200">
        <v>3600.895223</v>
      </c>
      <c r="N200">
        <v>239.26575199999999</v>
      </c>
      <c r="P200">
        <v>3361.5641449999998</v>
      </c>
      <c r="R200">
        <v>100000</v>
      </c>
      <c r="S200">
        <v>80816.856610000003</v>
      </c>
      <c r="T200">
        <v>80816.856610000003</v>
      </c>
      <c r="U200">
        <v>70004</v>
      </c>
      <c r="V200">
        <v>10812.856610000001</v>
      </c>
      <c r="W200">
        <v>-1</v>
      </c>
      <c r="X200">
        <v>-1</v>
      </c>
      <c r="Y200">
        <v>0</v>
      </c>
    </row>
    <row r="201" spans="1:25" x14ac:dyDescent="0.3">
      <c r="A201" t="s">
        <v>207</v>
      </c>
      <c r="B201">
        <v>11422.856879999999</v>
      </c>
      <c r="C201">
        <v>4.3874999999999997E-2</v>
      </c>
      <c r="E201">
        <v>0</v>
      </c>
      <c r="F201">
        <v>1</v>
      </c>
      <c r="G201">
        <v>-1</v>
      </c>
      <c r="H201">
        <v>1</v>
      </c>
      <c r="J201">
        <v>-1</v>
      </c>
      <c r="L201">
        <v>3601.89246</v>
      </c>
      <c r="N201">
        <v>961.13869199999999</v>
      </c>
      <c r="P201">
        <v>2640.7098930000002</v>
      </c>
      <c r="R201">
        <v>100000</v>
      </c>
      <c r="S201">
        <v>91423.856880000007</v>
      </c>
      <c r="T201">
        <v>91423.856880000007</v>
      </c>
      <c r="U201">
        <v>80001</v>
      </c>
      <c r="V201">
        <v>11422.856879999999</v>
      </c>
      <c r="W201">
        <v>-1</v>
      </c>
      <c r="X201">
        <v>-1</v>
      </c>
      <c r="Y201">
        <v>0</v>
      </c>
    </row>
    <row r="202" spans="1:25" s="2" customFormat="1" x14ac:dyDescent="0.3">
      <c r="A202" s="2" t="s">
        <v>202</v>
      </c>
      <c r="B202" s="2">
        <v>10812.85823</v>
      </c>
      <c r="C202" s="2">
        <v>0.100245</v>
      </c>
      <c r="E202" s="2">
        <v>0</v>
      </c>
      <c r="F202" s="2">
        <v>1</v>
      </c>
      <c r="G202" s="2">
        <v>-1</v>
      </c>
      <c r="H202" s="2">
        <v>1</v>
      </c>
      <c r="J202" s="2">
        <v>-1</v>
      </c>
      <c r="L202" s="2">
        <v>3600.8018689999999</v>
      </c>
      <c r="N202" s="2">
        <v>544.25492399999996</v>
      </c>
      <c r="P202" s="2">
        <v>3056.4467</v>
      </c>
      <c r="R202" s="2">
        <v>100000</v>
      </c>
      <c r="S202" s="2">
        <v>80814.858229999998</v>
      </c>
      <c r="T202" s="2">
        <v>80814.858229999998</v>
      </c>
      <c r="U202" s="2">
        <v>70002</v>
      </c>
      <c r="V202" s="2">
        <v>10812.85823</v>
      </c>
      <c r="W202" s="2">
        <v>-1</v>
      </c>
      <c r="X202" s="2">
        <v>-1</v>
      </c>
      <c r="Y202" s="2">
        <v>0</v>
      </c>
    </row>
    <row r="203" spans="1:25" x14ac:dyDescent="0.3">
      <c r="A203" t="s">
        <v>200</v>
      </c>
      <c r="B203">
        <v>10708.570820000001</v>
      </c>
      <c r="C203">
        <v>4.3936999999999997E-2</v>
      </c>
      <c r="E203">
        <v>0</v>
      </c>
      <c r="F203">
        <v>-1</v>
      </c>
      <c r="G203">
        <v>-1</v>
      </c>
      <c r="H203">
        <v>1</v>
      </c>
      <c r="J203">
        <v>-1</v>
      </c>
      <c r="L203">
        <v>3600.2753829999997</v>
      </c>
      <c r="N203">
        <v>3600.2314459999998</v>
      </c>
      <c r="P203">
        <v>0</v>
      </c>
      <c r="R203">
        <v>100000</v>
      </c>
      <c r="S203">
        <v>1E-3</v>
      </c>
      <c r="T203">
        <v>-1</v>
      </c>
      <c r="U203">
        <v>-1</v>
      </c>
      <c r="V203">
        <v>-1</v>
      </c>
      <c r="W203">
        <v>-1</v>
      </c>
      <c r="X203">
        <v>-1</v>
      </c>
      <c r="Y203">
        <v>0</v>
      </c>
    </row>
    <row r="204" spans="1:25" x14ac:dyDescent="0.3">
      <c r="A204" t="s">
        <v>203</v>
      </c>
      <c r="B204">
        <v>10788.570739999999</v>
      </c>
      <c r="C204">
        <v>0.14846599999999999</v>
      </c>
      <c r="E204">
        <v>0</v>
      </c>
      <c r="F204">
        <v>-1</v>
      </c>
      <c r="G204">
        <v>-1</v>
      </c>
      <c r="H204">
        <v>1</v>
      </c>
      <c r="J204">
        <v>-1</v>
      </c>
      <c r="L204">
        <v>3600.263136</v>
      </c>
      <c r="N204">
        <v>3600.1146699999999</v>
      </c>
      <c r="P204">
        <v>0</v>
      </c>
      <c r="R204">
        <v>100000</v>
      </c>
      <c r="S204">
        <v>1E-3</v>
      </c>
      <c r="T204">
        <v>-1</v>
      </c>
      <c r="U204">
        <v>-1</v>
      </c>
      <c r="V204">
        <v>-1</v>
      </c>
      <c r="W204">
        <v>-1</v>
      </c>
      <c r="X204">
        <v>-1</v>
      </c>
      <c r="Y204">
        <v>0</v>
      </c>
    </row>
    <row r="205" spans="1:25" x14ac:dyDescent="0.3">
      <c r="A205" t="s">
        <v>208</v>
      </c>
      <c r="B205">
        <v>10777.14201</v>
      </c>
      <c r="C205">
        <v>0.13458500000000001</v>
      </c>
      <c r="E205">
        <v>0</v>
      </c>
      <c r="F205">
        <v>-1</v>
      </c>
      <c r="G205">
        <v>-1</v>
      </c>
      <c r="H205">
        <v>1</v>
      </c>
      <c r="J205">
        <v>-1</v>
      </c>
      <c r="L205">
        <v>3600.5469719999996</v>
      </c>
      <c r="N205">
        <v>3600.4123869999999</v>
      </c>
      <c r="P205">
        <v>0</v>
      </c>
      <c r="R205">
        <v>100000</v>
      </c>
      <c r="S205">
        <v>1E-3</v>
      </c>
      <c r="T205">
        <v>-1</v>
      </c>
      <c r="U205">
        <v>-1</v>
      </c>
      <c r="V205">
        <v>-1</v>
      </c>
      <c r="W205">
        <v>-1</v>
      </c>
      <c r="X205">
        <v>-1</v>
      </c>
      <c r="Y205">
        <v>0</v>
      </c>
    </row>
    <row r="206" spans="1:25" x14ac:dyDescent="0.3">
      <c r="A206" t="s">
        <v>213</v>
      </c>
      <c r="B206">
        <v>11450.000319999999</v>
      </c>
      <c r="C206">
        <v>0.106825</v>
      </c>
      <c r="E206">
        <v>0</v>
      </c>
      <c r="F206">
        <v>-1</v>
      </c>
      <c r="G206">
        <v>-1</v>
      </c>
      <c r="H206">
        <v>1</v>
      </c>
      <c r="J206">
        <v>-1</v>
      </c>
      <c r="L206">
        <v>3600.201458</v>
      </c>
      <c r="N206">
        <v>3600.0946330000002</v>
      </c>
      <c r="P206">
        <v>0</v>
      </c>
      <c r="R206">
        <v>100000</v>
      </c>
      <c r="S206">
        <v>1E-3</v>
      </c>
      <c r="T206">
        <v>-1</v>
      </c>
      <c r="U206">
        <v>-1</v>
      </c>
      <c r="V206">
        <v>-1</v>
      </c>
      <c r="W206">
        <v>-1</v>
      </c>
      <c r="X206">
        <v>-1</v>
      </c>
      <c r="Y206">
        <v>0</v>
      </c>
    </row>
    <row r="207" spans="1:25" x14ac:dyDescent="0.3">
      <c r="A207" t="s">
        <v>216</v>
      </c>
      <c r="B207">
        <v>10798.57194</v>
      </c>
      <c r="C207">
        <v>6.3599000000000003E-2</v>
      </c>
      <c r="E207">
        <v>0</v>
      </c>
      <c r="F207">
        <v>-1</v>
      </c>
      <c r="G207">
        <v>-1</v>
      </c>
      <c r="H207">
        <v>1</v>
      </c>
      <c r="J207">
        <v>-1</v>
      </c>
      <c r="L207">
        <v>3600.3071129999998</v>
      </c>
      <c r="N207">
        <v>3600.2435139999998</v>
      </c>
      <c r="P207">
        <v>0</v>
      </c>
      <c r="R207">
        <v>100000</v>
      </c>
      <c r="S207">
        <v>1E-3</v>
      </c>
      <c r="T207">
        <v>-1</v>
      </c>
      <c r="U207">
        <v>-1</v>
      </c>
      <c r="V207">
        <v>-1</v>
      </c>
      <c r="W207">
        <v>-1</v>
      </c>
      <c r="X207">
        <v>-1</v>
      </c>
      <c r="Y207">
        <v>0</v>
      </c>
    </row>
    <row r="208" spans="1:25" x14ac:dyDescent="0.3">
      <c r="A208" t="s">
        <v>217</v>
      </c>
      <c r="B208">
        <v>10794.28528</v>
      </c>
      <c r="C208">
        <v>6.1885000000000003E-2</v>
      </c>
      <c r="E208">
        <v>0</v>
      </c>
      <c r="F208">
        <v>-1</v>
      </c>
      <c r="G208">
        <v>-1</v>
      </c>
      <c r="H208">
        <v>1</v>
      </c>
      <c r="J208">
        <v>-1</v>
      </c>
      <c r="L208">
        <v>3600.1436630000003</v>
      </c>
      <c r="N208">
        <v>3600.0817780000002</v>
      </c>
      <c r="P208">
        <v>0</v>
      </c>
      <c r="R208">
        <v>100000</v>
      </c>
      <c r="S208">
        <v>1E-3</v>
      </c>
      <c r="T208">
        <v>-1</v>
      </c>
      <c r="U208">
        <v>-1</v>
      </c>
      <c r="V208">
        <v>-1</v>
      </c>
      <c r="W208">
        <v>-1</v>
      </c>
      <c r="X208">
        <v>-1</v>
      </c>
      <c r="Y208">
        <v>0</v>
      </c>
    </row>
    <row r="209" spans="1:25" x14ac:dyDescent="0.3">
      <c r="A209" t="s">
        <v>219</v>
      </c>
      <c r="B209">
        <v>10794.28622</v>
      </c>
      <c r="C209">
        <v>5.6687000000000001E-2</v>
      </c>
      <c r="E209">
        <v>0</v>
      </c>
      <c r="F209">
        <v>-1</v>
      </c>
      <c r="G209">
        <v>-1</v>
      </c>
      <c r="H209">
        <v>1</v>
      </c>
      <c r="J209">
        <v>-1</v>
      </c>
      <c r="L209">
        <v>3600.1298829999996</v>
      </c>
      <c r="N209">
        <v>3600.0731959999998</v>
      </c>
      <c r="P209">
        <v>0</v>
      </c>
      <c r="R209">
        <v>100000</v>
      </c>
      <c r="S209">
        <v>1E-3</v>
      </c>
      <c r="T209">
        <v>-1</v>
      </c>
      <c r="U209">
        <v>-1</v>
      </c>
      <c r="V209">
        <v>-1</v>
      </c>
      <c r="W209">
        <v>-1</v>
      </c>
      <c r="X209">
        <v>-1</v>
      </c>
      <c r="Y209">
        <v>0</v>
      </c>
    </row>
    <row r="210" spans="1:25" x14ac:dyDescent="0.3">
      <c r="A210" t="s">
        <v>226</v>
      </c>
      <c r="B210">
        <v>11409.99775</v>
      </c>
      <c r="C210">
        <v>5.3088999999999997E-2</v>
      </c>
      <c r="E210">
        <v>0</v>
      </c>
      <c r="F210">
        <v>-1</v>
      </c>
      <c r="G210">
        <v>-1</v>
      </c>
      <c r="H210">
        <v>1</v>
      </c>
      <c r="J210">
        <v>-1</v>
      </c>
      <c r="L210">
        <v>3600.3602099999998</v>
      </c>
      <c r="N210">
        <v>3600.3071209999998</v>
      </c>
      <c r="P210">
        <v>0</v>
      </c>
      <c r="R210">
        <v>100000</v>
      </c>
      <c r="S210">
        <v>1E-3</v>
      </c>
      <c r="T210">
        <v>-1</v>
      </c>
      <c r="U210">
        <v>-1</v>
      </c>
      <c r="V210">
        <v>-1</v>
      </c>
      <c r="W210">
        <v>-1</v>
      </c>
      <c r="X210">
        <v>-1</v>
      </c>
      <c r="Y210">
        <v>0</v>
      </c>
    </row>
    <row r="211" spans="1:25" x14ac:dyDescent="0.3">
      <c r="A211" t="s">
        <v>229</v>
      </c>
      <c r="B211">
        <v>10844.28679</v>
      </c>
      <c r="C211">
        <v>4.7055E-2</v>
      </c>
      <c r="E211">
        <v>0</v>
      </c>
      <c r="F211">
        <v>-1</v>
      </c>
      <c r="G211">
        <v>-1</v>
      </c>
      <c r="H211">
        <v>1</v>
      </c>
      <c r="J211">
        <v>-1</v>
      </c>
      <c r="L211">
        <v>3600.19812</v>
      </c>
      <c r="N211">
        <v>3600.151065</v>
      </c>
      <c r="P211">
        <v>0</v>
      </c>
      <c r="R211">
        <v>100000</v>
      </c>
      <c r="S211">
        <v>1E-3</v>
      </c>
      <c r="T211">
        <v>-1</v>
      </c>
      <c r="U211">
        <v>-1</v>
      </c>
      <c r="V211">
        <v>-1</v>
      </c>
      <c r="W211">
        <v>-1</v>
      </c>
      <c r="X211">
        <v>-1</v>
      </c>
      <c r="Y211">
        <v>0</v>
      </c>
    </row>
  </sheetData>
  <autoFilter ref="E1:E311" xr:uid="{00000000-0009-0000-0000-000000000000}"/>
  <phoneticPr fontId="18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44C87B-EDDC-40C7-9DB0-EC81582DAF2A}">
  <dimension ref="A1:F8"/>
  <sheetViews>
    <sheetView tabSelected="1" workbookViewId="0">
      <selection activeCell="D7" sqref="D7:D8"/>
    </sheetView>
  </sheetViews>
  <sheetFormatPr defaultRowHeight="14" x14ac:dyDescent="0.3"/>
  <cols>
    <col min="1" max="6" width="8.6640625" style="5"/>
  </cols>
  <sheetData>
    <row r="1" spans="1:6" x14ac:dyDescent="0.3">
      <c r="A1" s="5" t="s">
        <v>240</v>
      </c>
      <c r="B1" s="5" t="s">
        <v>237</v>
      </c>
      <c r="C1" s="5" t="s">
        <v>235</v>
      </c>
      <c r="D1" s="5" t="s">
        <v>238</v>
      </c>
      <c r="E1" s="5" t="s">
        <v>11</v>
      </c>
      <c r="F1" s="5" t="s">
        <v>236</v>
      </c>
    </row>
    <row r="2" spans="1:6" x14ac:dyDescent="0.3">
      <c r="A2" s="5">
        <v>10</v>
      </c>
      <c r="B2" s="5">
        <v>30</v>
      </c>
      <c r="C2" s="5">
        <v>1.7333333333333334</v>
      </c>
      <c r="D2" s="5">
        <v>0.53136970000000006</v>
      </c>
      <c r="E2" s="5">
        <v>2.0730857333333339</v>
      </c>
      <c r="F2" s="5">
        <v>2.6154142999999999</v>
      </c>
    </row>
    <row r="3" spans="1:6" x14ac:dyDescent="0.3">
      <c r="A3" s="5">
        <v>20</v>
      </c>
      <c r="B3" s="5">
        <v>29</v>
      </c>
      <c r="C3" s="5">
        <v>6.8965517241379306</v>
      </c>
      <c r="D3" s="5">
        <v>29.097712379310348</v>
      </c>
      <c r="E3" s="5">
        <v>191.97984672413799</v>
      </c>
      <c r="F3" s="5">
        <v>221.09815413793095</v>
      </c>
    </row>
    <row r="4" spans="1:6" x14ac:dyDescent="0.3">
      <c r="A4" s="5">
        <v>30</v>
      </c>
      <c r="B4" s="5">
        <v>26</v>
      </c>
      <c r="C4" s="5">
        <v>2.4615384615384617</v>
      </c>
      <c r="D4" s="5">
        <v>54.822057615384615</v>
      </c>
      <c r="E4" s="5">
        <v>640.82286819230762</v>
      </c>
      <c r="F4" s="5">
        <v>695.67544007692311</v>
      </c>
    </row>
    <row r="5" spans="1:6" x14ac:dyDescent="0.3">
      <c r="A5" s="5">
        <v>40</v>
      </c>
      <c r="B5" s="5">
        <v>3</v>
      </c>
      <c r="C5" s="5">
        <v>1</v>
      </c>
      <c r="D5" s="5">
        <v>26.146107999999998</v>
      </c>
      <c r="E5" s="5">
        <v>1879.588825</v>
      </c>
      <c r="F5" s="5">
        <v>1905.7726899999998</v>
      </c>
    </row>
    <row r="6" spans="1:6" x14ac:dyDescent="0.3">
      <c r="A6" s="5">
        <v>50</v>
      </c>
      <c r="B6" s="5">
        <v>0</v>
      </c>
      <c r="C6" s="5" t="s">
        <v>234</v>
      </c>
      <c r="D6" s="5">
        <v>523.18165209999995</v>
      </c>
      <c r="E6" s="5" t="s">
        <v>234</v>
      </c>
      <c r="F6" s="5" t="s">
        <v>239</v>
      </c>
    </row>
    <row r="7" spans="1:6" x14ac:dyDescent="0.3">
      <c r="A7" s="5">
        <v>60</v>
      </c>
      <c r="B7" s="5">
        <v>0</v>
      </c>
      <c r="C7" s="5" t="s">
        <v>234</v>
      </c>
      <c r="D7" s="5">
        <v>306.32047933333337</v>
      </c>
      <c r="E7" s="5" t="s">
        <v>234</v>
      </c>
      <c r="F7" s="5" t="s">
        <v>239</v>
      </c>
    </row>
    <row r="8" spans="1:6" x14ac:dyDescent="0.3">
      <c r="A8" s="5">
        <v>70</v>
      </c>
      <c r="B8" s="5">
        <v>0</v>
      </c>
      <c r="C8" s="5" t="s">
        <v>234</v>
      </c>
      <c r="D8" s="5">
        <v>337.64953023809528</v>
      </c>
      <c r="E8" s="5" t="s">
        <v>234</v>
      </c>
      <c r="F8" s="5" t="s">
        <v>239</v>
      </c>
    </row>
  </sheetData>
  <autoFilter ref="B1:B8" xr:uid="{7744C87B-EDDC-40C7-9DB0-EC81582DAF2A}"/>
  <phoneticPr fontId="1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Basic-C</vt:lpstr>
      <vt:lpstr>Summary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Xinyi Guo</dc:creator>
  <cp:lastModifiedBy>Xinyi Guo</cp:lastModifiedBy>
  <dcterms:created xsi:type="dcterms:W3CDTF">2023-12-18T11:48:17Z</dcterms:created>
  <dcterms:modified xsi:type="dcterms:W3CDTF">2024-07-31T15:35:04Z</dcterms:modified>
</cp:coreProperties>
</file>