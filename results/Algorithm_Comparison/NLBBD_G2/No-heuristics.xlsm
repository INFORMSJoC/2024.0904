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XYCreate\Work1\初稿\Instances and Results - Upload\Results\Algorithm_Comparison\NLBBD_G2\"/>
    </mc:Choice>
  </mc:AlternateContent>
  <xr:revisionPtr revIDLastSave="0" documentId="13_ncr:1_{49F277F2-FB28-4B5D-8FD2-5455BD294174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1110010-Com" sheetId="1" r:id="rId1"/>
    <sheet name="Summary" sheetId="3" r:id="rId2"/>
  </sheets>
  <definedNames>
    <definedName name="_xlnm._FilterDatabase" localSheetId="0" hidden="1">'1110010-Com'!$A$1:$U$163</definedName>
    <definedName name="_xlnm._FilterDatabase" localSheetId="1" hidden="1">Summary!$B$1:$B$10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2" i="1" l="1"/>
  <c r="AT2" i="1"/>
  <c r="AM2" i="1"/>
  <c r="AV32" i="1"/>
  <c r="AT32" i="1"/>
  <c r="AM32" i="1"/>
  <c r="AV62" i="1"/>
  <c r="AT62" i="1"/>
  <c r="AM62" i="1"/>
  <c r="AV90" i="1"/>
  <c r="AT90" i="1"/>
  <c r="AM90" i="1"/>
  <c r="AV118" i="1"/>
  <c r="AT118" i="1"/>
  <c r="AM118" i="1"/>
  <c r="AV142" i="1"/>
  <c r="AT142" i="1"/>
  <c r="AM142" i="1"/>
  <c r="AV155" i="1"/>
  <c r="AT155" i="1"/>
  <c r="AM155" i="1"/>
  <c r="AV163" i="1"/>
  <c r="AV162" i="1"/>
  <c r="AT163" i="1"/>
  <c r="AT162" i="1"/>
  <c r="AM163" i="1"/>
  <c r="AM162" i="1"/>
  <c r="AK163" i="1"/>
  <c r="AK162" i="1"/>
  <c r="AI163" i="1"/>
  <c r="AI162" i="1"/>
  <c r="AG163" i="1"/>
  <c r="AG162" i="1"/>
  <c r="AK155" i="1"/>
  <c r="AI155" i="1"/>
  <c r="AG155" i="1"/>
  <c r="AK142" i="1"/>
  <c r="AI142" i="1"/>
  <c r="AG142" i="1"/>
  <c r="AK118" i="1"/>
  <c r="AI118" i="1"/>
  <c r="AG118" i="1"/>
  <c r="AK90" i="1"/>
  <c r="AI90" i="1"/>
  <c r="AG90" i="1"/>
  <c r="AK62" i="1"/>
  <c r="AI62" i="1"/>
  <c r="AG62" i="1"/>
  <c r="AK32" i="1"/>
  <c r="AI32" i="1"/>
  <c r="AG32" i="1"/>
  <c r="AK2" i="1"/>
  <c r="AI2" i="1"/>
  <c r="AG2" i="1"/>
  <c r="R2" i="1"/>
  <c r="O2" i="1"/>
  <c r="R32" i="1"/>
  <c r="O32" i="1"/>
  <c r="R62" i="1"/>
  <c r="O62" i="1"/>
  <c r="R90" i="1"/>
  <c r="O90" i="1"/>
  <c r="R118" i="1"/>
  <c r="O118" i="1"/>
  <c r="R142" i="1"/>
  <c r="O142" i="1"/>
  <c r="R155" i="1"/>
  <c r="O155" i="1"/>
  <c r="R163" i="1"/>
  <c r="R162" i="1"/>
  <c r="O163" i="1"/>
  <c r="O162" i="1"/>
</calcChain>
</file>

<file path=xl/sharedStrings.xml><?xml version="1.0" encoding="utf-8"?>
<sst xmlns="http://schemas.openxmlformats.org/spreadsheetml/2006/main" count="216" uniqueCount="212">
  <si>
    <t>Ins</t>
  </si>
  <si>
    <t>LB.2nd.Stage</t>
  </si>
  <si>
    <t>Time.LB</t>
  </si>
  <si>
    <t>Num.Nodes</t>
  </si>
  <si>
    <t>Num.Arcs</t>
  </si>
  <si>
    <t>Time.Build.G2</t>
  </si>
  <si>
    <t>Get opt sol by SP-Heu</t>
  </si>
  <si>
    <t>Obj.MP</t>
  </si>
  <si>
    <t>Obj.SP</t>
  </si>
  <si>
    <t>Obj.F1F2</t>
  </si>
  <si>
    <t>Obj.theta</t>
  </si>
  <si>
    <t>Total.Time</t>
  </si>
  <si>
    <t>UB</t>
  </si>
  <si>
    <t>LB</t>
  </si>
  <si>
    <t>OP.Status</t>
  </si>
  <si>
    <t>MP.Status</t>
  </si>
  <si>
    <t>SP.Status</t>
  </si>
  <si>
    <t>Gap</t>
  </si>
  <si>
    <t>MP.gap</t>
  </si>
  <si>
    <t>SP.gap</t>
  </si>
  <si>
    <t>Num.LBBD.OptCut</t>
  </si>
  <si>
    <t>Num.LBBD.NogoodCut</t>
  </si>
  <si>
    <t>Total.Time.MP</t>
  </si>
  <si>
    <t>Total.Time.SP</t>
  </si>
  <si>
    <t>Num.SP.Solved</t>
  </si>
  <si>
    <t>Num.Lazy1</t>
  </si>
  <si>
    <t>Num.Lazy2</t>
  </si>
  <si>
    <t>Num.Lazy3</t>
  </si>
  <si>
    <t>Num.SP-Nogood.Cuts</t>
  </si>
  <si>
    <t>Avg.Num.Lazy1</t>
  </si>
  <si>
    <t>Avg.Num.Lazy2</t>
  </si>
  <si>
    <t>Avg.Num.Lazy3</t>
  </si>
  <si>
    <t>Avg.Num.SP-No.Cuts</t>
  </si>
  <si>
    <t>Time.Solve.SP2-S2</t>
  </si>
  <si>
    <t>Num.SP-S2.Solved</t>
  </si>
  <si>
    <t>Avg.Time.Solve.SP-S2</t>
  </si>
  <si>
    <t>10_4</t>
  </si>
  <si>
    <t>10_6</t>
  </si>
  <si>
    <t>10_5</t>
  </si>
  <si>
    <t>10_3</t>
  </si>
  <si>
    <t>10_1</t>
  </si>
  <si>
    <t>10_7</t>
  </si>
  <si>
    <t>10_8</t>
  </si>
  <si>
    <t>10_2</t>
  </si>
  <si>
    <t>10_10</t>
  </si>
  <si>
    <t>10_18</t>
  </si>
  <si>
    <t>10_15</t>
  </si>
  <si>
    <t>10_17</t>
  </si>
  <si>
    <t>10_12</t>
  </si>
  <si>
    <t>10_16</t>
  </si>
  <si>
    <t>10_11</t>
  </si>
  <si>
    <t>10_13</t>
  </si>
  <si>
    <t>10_14</t>
  </si>
  <si>
    <t>10_9</t>
  </si>
  <si>
    <t>10_24</t>
  </si>
  <si>
    <t>10_20</t>
  </si>
  <si>
    <t>10_26</t>
  </si>
  <si>
    <t>10_27</t>
  </si>
  <si>
    <t>10_21</t>
  </si>
  <si>
    <t>10_25</t>
  </si>
  <si>
    <t>10_22</t>
  </si>
  <si>
    <t>10_19</t>
  </si>
  <si>
    <t>10_28</t>
  </si>
  <si>
    <t>10_23</t>
  </si>
  <si>
    <t>10_29</t>
  </si>
  <si>
    <t>10_30</t>
  </si>
  <si>
    <t>20_8</t>
  </si>
  <si>
    <t>20_2</t>
  </si>
  <si>
    <t>20_7</t>
  </si>
  <si>
    <t>20_3</t>
  </si>
  <si>
    <t>20_1</t>
  </si>
  <si>
    <t>20_4</t>
  </si>
  <si>
    <t>20_5</t>
  </si>
  <si>
    <t>20_6</t>
  </si>
  <si>
    <t>20_17</t>
  </si>
  <si>
    <t>20_13</t>
  </si>
  <si>
    <t>20_16</t>
  </si>
  <si>
    <t>20_15</t>
  </si>
  <si>
    <t>20_10</t>
  </si>
  <si>
    <t>20_18</t>
  </si>
  <si>
    <t>20_9</t>
  </si>
  <si>
    <t>20_11</t>
  </si>
  <si>
    <t>20_12</t>
  </si>
  <si>
    <t>20_14</t>
  </si>
  <si>
    <t>20_27</t>
  </si>
  <si>
    <t>20_20</t>
  </si>
  <si>
    <t>20_19</t>
  </si>
  <si>
    <t>20_21</t>
  </si>
  <si>
    <t>20_29</t>
  </si>
  <si>
    <t>20_24</t>
  </si>
  <si>
    <t>20_22</t>
  </si>
  <si>
    <t>20_23</t>
  </si>
  <si>
    <t>20_28</t>
  </si>
  <si>
    <t>20_30</t>
  </si>
  <si>
    <t>20_26</t>
  </si>
  <si>
    <t>20_25</t>
  </si>
  <si>
    <t>30_1</t>
  </si>
  <si>
    <t>30_6</t>
  </si>
  <si>
    <t>30_5</t>
  </si>
  <si>
    <t>30_8</t>
  </si>
  <si>
    <t>30_4</t>
  </si>
  <si>
    <t>30_7</t>
  </si>
  <si>
    <t>30_2</t>
  </si>
  <si>
    <t>30_3</t>
  </si>
  <si>
    <t>30_12</t>
  </si>
  <si>
    <t>30_14</t>
  </si>
  <si>
    <t>30_11</t>
  </si>
  <si>
    <t>30_15</t>
  </si>
  <si>
    <t>30_17</t>
  </si>
  <si>
    <t>30_16</t>
  </si>
  <si>
    <t>30_18</t>
  </si>
  <si>
    <t>30_10</t>
  </si>
  <si>
    <t>30_26</t>
  </si>
  <si>
    <t>30_24</t>
  </si>
  <si>
    <t>30_25</t>
  </si>
  <si>
    <t>30_28</t>
  </si>
  <si>
    <t>30_30</t>
  </si>
  <si>
    <t>30_29</t>
  </si>
  <si>
    <t>30_22</t>
  </si>
  <si>
    <t>30_20</t>
  </si>
  <si>
    <t>30_19</t>
  </si>
  <si>
    <t>30_21</t>
  </si>
  <si>
    <t>30_23</t>
  </si>
  <si>
    <t>30_9</t>
  </si>
  <si>
    <t>60_21</t>
  </si>
  <si>
    <t>60_17</t>
  </si>
  <si>
    <t>60_27</t>
  </si>
  <si>
    <t>60_18</t>
  </si>
  <si>
    <t>60_26</t>
  </si>
  <si>
    <t>60_14</t>
  </si>
  <si>
    <t>60_13</t>
  </si>
  <si>
    <t>60_23</t>
  </si>
  <si>
    <t>60_2</t>
  </si>
  <si>
    <t>60_28</t>
  </si>
  <si>
    <t>60_11</t>
  </si>
  <si>
    <t>60_20</t>
  </si>
  <si>
    <t>60_25</t>
  </si>
  <si>
    <t>Num.LBBD.Iters</t>
    <phoneticPr fontId="18" type="noConversion"/>
  </si>
  <si>
    <t>50_10</t>
  </si>
  <si>
    <t>50_5</t>
  </si>
  <si>
    <t>50_3</t>
  </si>
  <si>
    <t>50_2</t>
  </si>
  <si>
    <t>50_19</t>
  </si>
  <si>
    <t>50_30</t>
  </si>
  <si>
    <t>50_7</t>
  </si>
  <si>
    <t>50_21</t>
  </si>
  <si>
    <t>50_4</t>
  </si>
  <si>
    <t>50_29</t>
  </si>
  <si>
    <t>50_24</t>
  </si>
  <si>
    <t>50_25</t>
  </si>
  <si>
    <t>50_20</t>
  </si>
  <si>
    <t>50_27</t>
  </si>
  <si>
    <t>50_26</t>
  </si>
  <si>
    <t>50_6</t>
  </si>
  <si>
    <t>50_23</t>
  </si>
  <si>
    <t>50_15</t>
  </si>
  <si>
    <t>50_1</t>
  </si>
  <si>
    <t>50_14</t>
  </si>
  <si>
    <t>50_31</t>
  </si>
  <si>
    <t>50_22</t>
  </si>
  <si>
    <t>50_18</t>
  </si>
  <si>
    <t>50_17</t>
  </si>
  <si>
    <t>80_16</t>
  </si>
  <si>
    <t>90_12</t>
  </si>
  <si>
    <t>70_10</t>
  </si>
  <si>
    <t>70_25</t>
  </si>
  <si>
    <t>70_8</t>
  </si>
  <si>
    <t>70_14</t>
  </si>
  <si>
    <t>70_23</t>
  </si>
  <si>
    <t>70_22</t>
  </si>
  <si>
    <t>70_27</t>
  </si>
  <si>
    <t>40_3</t>
  </si>
  <si>
    <t>40_2</t>
  </si>
  <si>
    <t>40_6</t>
  </si>
  <si>
    <t>40_7</t>
  </si>
  <si>
    <t>40_12</t>
  </si>
  <si>
    <t>40_11</t>
  </si>
  <si>
    <t>40_9</t>
  </si>
  <si>
    <t>40_8</t>
  </si>
  <si>
    <t>40_10</t>
  </si>
  <si>
    <t>40_13</t>
  </si>
  <si>
    <t>40_1</t>
  </si>
  <si>
    <t>40_16</t>
  </si>
  <si>
    <t>40_15</t>
  </si>
  <si>
    <t>40_21</t>
  </si>
  <si>
    <t>40_18</t>
  </si>
  <si>
    <t>40_20</t>
  </si>
  <si>
    <t>40_26</t>
  </si>
  <si>
    <t>40_27</t>
  </si>
  <si>
    <t>40_25</t>
  </si>
  <si>
    <t>40_14</t>
  </si>
  <si>
    <t>40_30</t>
  </si>
  <si>
    <t>40_29</t>
  </si>
  <si>
    <t>40_5</t>
  </si>
  <si>
    <t>40_24</t>
  </si>
  <si>
    <t>40_19</t>
  </si>
  <si>
    <t>40_23</t>
  </si>
  <si>
    <t>40_22</t>
  </si>
  <si>
    <t>40_4</t>
  </si>
  <si>
    <t>Avg.Iter</t>
    <phoneticPr fontId="18" type="noConversion"/>
  </si>
  <si>
    <t>Num.Ins.Opt</t>
    <phoneticPr fontId="18" type="noConversion"/>
  </si>
  <si>
    <t>Cut1</t>
    <phoneticPr fontId="18" type="noConversion"/>
  </si>
  <si>
    <t>Cut2</t>
    <phoneticPr fontId="18" type="noConversion"/>
  </si>
  <si>
    <t>Cut3</t>
    <phoneticPr fontId="18" type="noConversion"/>
  </si>
  <si>
    <t>Nogood</t>
    <phoneticPr fontId="18" type="noConversion"/>
  </si>
  <si>
    <t>Avg.Num.SP-S2</t>
    <phoneticPr fontId="18" type="noConversion"/>
  </si>
  <si>
    <t>Avg.Time.SP-S2</t>
    <phoneticPr fontId="18" type="noConversion"/>
  </si>
  <si>
    <t>Avg.Total.Time</t>
  </si>
  <si>
    <t>Avg.SP.Time</t>
  </si>
  <si>
    <t>Avg.MP.Time</t>
  </si>
  <si>
    <t>Num.Ins.Opt</t>
  </si>
  <si>
    <t>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</si>
</sst>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V163"/>
  <sheetViews>
    <sheetView workbookViewId="0">
      <selection activeCell="M2" sqref="M2"/>
    </sheetView>
  </sheetViews>
  <sheetFormatPr defaultRowHeight="14" x14ac:dyDescent="0.3"/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207</v>
      </c>
      <c r="N1" t="s">
        <v>137</v>
      </c>
      <c r="O1" t="s">
        <v>199</v>
      </c>
      <c r="P1" t="s">
        <v>12</v>
      </c>
      <c r="Q1" t="s">
        <v>13</v>
      </c>
      <c r="R1" t="s">
        <v>200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209</v>
      </c>
      <c r="AC1" t="s">
        <v>23</v>
      </c>
      <c r="AD1" t="s">
        <v>208</v>
      </c>
      <c r="AE1" t="s">
        <v>24</v>
      </c>
      <c r="AF1" t="s">
        <v>25</v>
      </c>
      <c r="AG1" t="s">
        <v>201</v>
      </c>
      <c r="AH1" t="s">
        <v>26</v>
      </c>
      <c r="AI1" t="s">
        <v>202</v>
      </c>
      <c r="AJ1" t="s">
        <v>27</v>
      </c>
      <c r="AK1" t="s">
        <v>203</v>
      </c>
      <c r="AL1" t="s">
        <v>28</v>
      </c>
      <c r="AM1" t="s">
        <v>204</v>
      </c>
      <c r="AN1" t="s">
        <v>29</v>
      </c>
      <c r="AO1" t="s">
        <v>30</v>
      </c>
      <c r="AP1" t="s">
        <v>31</v>
      </c>
      <c r="AQ1" t="s">
        <v>32</v>
      </c>
      <c r="AR1" t="s">
        <v>33</v>
      </c>
      <c r="AS1" t="s">
        <v>34</v>
      </c>
      <c r="AT1" t="s">
        <v>205</v>
      </c>
      <c r="AU1" t="s">
        <v>35</v>
      </c>
      <c r="AV1" t="s">
        <v>206</v>
      </c>
    </row>
    <row r="2" spans="1:48" x14ac:dyDescent="0.3">
      <c r="A2" t="s">
        <v>36</v>
      </c>
      <c r="B2">
        <v>1479.999898</v>
      </c>
      <c r="C2">
        <v>1.0029E-2</v>
      </c>
      <c r="D2">
        <v>161</v>
      </c>
      <c r="E2">
        <v>534</v>
      </c>
      <c r="F2">
        <v>0</v>
      </c>
      <c r="G2">
        <v>0</v>
      </c>
      <c r="H2">
        <v>21480.999899999999</v>
      </c>
      <c r="I2">
        <v>1479.999898</v>
      </c>
      <c r="J2">
        <v>20001</v>
      </c>
      <c r="K2">
        <v>1479.999898</v>
      </c>
      <c r="L2">
        <v>9.4611000000000001E-2</v>
      </c>
      <c r="M2">
        <v>0.2930567</v>
      </c>
      <c r="N2">
        <v>1</v>
      </c>
      <c r="O2">
        <f>AVERAGE(N2:N31)</f>
        <v>1</v>
      </c>
      <c r="P2">
        <v>21480.999899999999</v>
      </c>
      <c r="Q2">
        <v>21480.999899999999</v>
      </c>
      <c r="R2">
        <f>SUM(S2:S31)</f>
        <v>30</v>
      </c>
      <c r="S2">
        <v>1</v>
      </c>
      <c r="T2">
        <v>1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3.9706999999999999E-2</v>
      </c>
      <c r="AB2">
        <v>0.20182039999999998</v>
      </c>
      <c r="AC2">
        <v>4.4874999999999998E-2</v>
      </c>
      <c r="AD2">
        <v>8.0233899999999997E-2</v>
      </c>
      <c r="AE2">
        <v>1</v>
      </c>
      <c r="AF2">
        <v>0</v>
      </c>
      <c r="AG2">
        <f>AVERAGE(AF2:AF31)</f>
        <v>4.0999999999999996</v>
      </c>
      <c r="AH2">
        <v>2</v>
      </c>
      <c r="AI2">
        <f>AVERAGE(AH2:AH31)</f>
        <v>0.5</v>
      </c>
      <c r="AJ2">
        <v>0</v>
      </c>
      <c r="AK2">
        <f>AVERAGE(AJ2:AJ31)</f>
        <v>5.2</v>
      </c>
      <c r="AL2">
        <v>0</v>
      </c>
      <c r="AM2">
        <f>AVERAGE(AL2:AL31)</f>
        <v>6.6666666666666666E-2</v>
      </c>
      <c r="AN2">
        <v>0</v>
      </c>
      <c r="AO2">
        <v>2</v>
      </c>
      <c r="AP2">
        <v>0</v>
      </c>
      <c r="AQ2">
        <v>0</v>
      </c>
      <c r="AR2">
        <v>5.0000000000000001E-3</v>
      </c>
      <c r="AS2">
        <v>2</v>
      </c>
      <c r="AT2">
        <f>AVERAGE(AS2:AS31)</f>
        <v>2.3666666666666667</v>
      </c>
      <c r="AU2">
        <v>2.5000000000000001E-3</v>
      </c>
      <c r="AV2">
        <f>AVERAGE(AU2:AU31)</f>
        <v>3.5911000000000011E-3</v>
      </c>
    </row>
    <row r="3" spans="1:48" x14ac:dyDescent="0.3">
      <c r="A3" t="s">
        <v>37</v>
      </c>
      <c r="B3">
        <v>1479.9999270000001</v>
      </c>
      <c r="C3">
        <v>1.2909E-2</v>
      </c>
      <c r="D3">
        <v>241</v>
      </c>
      <c r="E3">
        <v>1206</v>
      </c>
      <c r="F3">
        <v>0</v>
      </c>
      <c r="G3">
        <v>0</v>
      </c>
      <c r="H3">
        <v>21482.999930000002</v>
      </c>
      <c r="I3">
        <v>1479.9999270000001</v>
      </c>
      <c r="J3">
        <v>20003</v>
      </c>
      <c r="K3">
        <v>1479.9999270000001</v>
      </c>
      <c r="L3">
        <v>1.4144690000000002</v>
      </c>
      <c r="N3">
        <v>1</v>
      </c>
      <c r="P3">
        <v>21482.999930000002</v>
      </c>
      <c r="Q3">
        <v>21482.999930000002</v>
      </c>
      <c r="S3">
        <v>1</v>
      </c>
      <c r="T3">
        <v>1</v>
      </c>
      <c r="U3">
        <v>1</v>
      </c>
      <c r="V3">
        <v>0</v>
      </c>
      <c r="W3">
        <v>0</v>
      </c>
      <c r="X3">
        <v>0</v>
      </c>
      <c r="Y3">
        <v>0</v>
      </c>
      <c r="Z3">
        <v>0</v>
      </c>
      <c r="AA3">
        <v>1.3352630000000001</v>
      </c>
      <c r="AC3">
        <v>6.6296999999999995E-2</v>
      </c>
      <c r="AE3">
        <v>1</v>
      </c>
      <c r="AF3">
        <v>12</v>
      </c>
      <c r="AH3">
        <v>0</v>
      </c>
      <c r="AJ3">
        <v>2</v>
      </c>
      <c r="AL3">
        <v>0</v>
      </c>
      <c r="AN3">
        <v>12</v>
      </c>
      <c r="AO3">
        <v>0</v>
      </c>
      <c r="AP3">
        <v>2</v>
      </c>
      <c r="AQ3">
        <v>0</v>
      </c>
      <c r="AR3">
        <v>7.0000000000000001E-3</v>
      </c>
      <c r="AS3">
        <v>5</v>
      </c>
      <c r="AU3">
        <v>1.4E-3</v>
      </c>
    </row>
    <row r="4" spans="1:48" x14ac:dyDescent="0.3">
      <c r="A4" t="s">
        <v>38</v>
      </c>
      <c r="B4">
        <v>1479.9999270000001</v>
      </c>
      <c r="C4">
        <v>1.0496999999999999E-2</v>
      </c>
      <c r="D4">
        <v>201</v>
      </c>
      <c r="E4">
        <v>835</v>
      </c>
      <c r="F4">
        <v>0</v>
      </c>
      <c r="G4">
        <v>0</v>
      </c>
      <c r="H4">
        <v>21482.999930000002</v>
      </c>
      <c r="I4">
        <v>1479.9999270000001</v>
      </c>
      <c r="J4">
        <v>20003</v>
      </c>
      <c r="K4">
        <v>1479.9999270000001</v>
      </c>
      <c r="L4">
        <v>0.322465</v>
      </c>
      <c r="N4">
        <v>1</v>
      </c>
      <c r="P4">
        <v>21482.999930000002</v>
      </c>
      <c r="Q4">
        <v>21482.999930000002</v>
      </c>
      <c r="S4">
        <v>1</v>
      </c>
      <c r="T4">
        <v>1</v>
      </c>
      <c r="U4">
        <v>1</v>
      </c>
      <c r="V4">
        <v>0</v>
      </c>
      <c r="W4">
        <v>0</v>
      </c>
      <c r="X4">
        <v>0</v>
      </c>
      <c r="Y4">
        <v>0</v>
      </c>
      <c r="Z4">
        <v>0</v>
      </c>
      <c r="AA4">
        <v>0.123498</v>
      </c>
      <c r="AC4">
        <v>0.18847</v>
      </c>
      <c r="AE4">
        <v>1</v>
      </c>
      <c r="AF4">
        <v>0</v>
      </c>
      <c r="AH4">
        <v>0</v>
      </c>
      <c r="AJ4">
        <v>14</v>
      </c>
      <c r="AL4">
        <v>0</v>
      </c>
      <c r="AN4">
        <v>0</v>
      </c>
      <c r="AO4">
        <v>0</v>
      </c>
      <c r="AP4">
        <v>14</v>
      </c>
      <c r="AQ4">
        <v>0</v>
      </c>
      <c r="AR4">
        <v>1.7999999999999999E-2</v>
      </c>
      <c r="AS4">
        <v>4</v>
      </c>
      <c r="AU4">
        <v>4.4999999999999997E-3</v>
      </c>
    </row>
    <row r="5" spans="1:48" x14ac:dyDescent="0.3">
      <c r="A5" t="s">
        <v>39</v>
      </c>
      <c r="B5">
        <v>1520.000008</v>
      </c>
      <c r="C5">
        <v>9.1710000000000003E-3</v>
      </c>
      <c r="D5">
        <v>201</v>
      </c>
      <c r="E5">
        <v>835</v>
      </c>
      <c r="F5">
        <v>0</v>
      </c>
      <c r="G5">
        <v>0</v>
      </c>
      <c r="H5">
        <v>21522.00001</v>
      </c>
      <c r="I5">
        <v>1520.000008</v>
      </c>
      <c r="J5">
        <v>20002</v>
      </c>
      <c r="K5">
        <v>1520.000008</v>
      </c>
      <c r="L5">
        <v>0.25226199999999999</v>
      </c>
      <c r="N5">
        <v>1</v>
      </c>
      <c r="P5">
        <v>21522.00001</v>
      </c>
      <c r="Q5">
        <v>21522.00001</v>
      </c>
      <c r="S5">
        <v>1</v>
      </c>
      <c r="T5">
        <v>1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0.19276399999999999</v>
      </c>
      <c r="AC5">
        <v>5.0326999999999997E-2</v>
      </c>
      <c r="AE5">
        <v>1</v>
      </c>
      <c r="AF5">
        <v>9</v>
      </c>
      <c r="AH5">
        <v>0</v>
      </c>
      <c r="AJ5">
        <v>6</v>
      </c>
      <c r="AL5">
        <v>0</v>
      </c>
      <c r="AN5">
        <v>9</v>
      </c>
      <c r="AO5">
        <v>0</v>
      </c>
      <c r="AP5">
        <v>6</v>
      </c>
      <c r="AQ5">
        <v>0</v>
      </c>
      <c r="AR5">
        <v>4.0000000000000001E-3</v>
      </c>
      <c r="AS5">
        <v>2</v>
      </c>
      <c r="AU5">
        <v>2E-3</v>
      </c>
    </row>
    <row r="6" spans="1:48" x14ac:dyDescent="0.3">
      <c r="A6" t="s">
        <v>40</v>
      </c>
      <c r="B6">
        <v>1470.0000439999999</v>
      </c>
      <c r="C6">
        <v>1.1412E-2</v>
      </c>
      <c r="D6">
        <v>241</v>
      </c>
      <c r="E6">
        <v>1206</v>
      </c>
      <c r="F6">
        <v>0</v>
      </c>
      <c r="G6">
        <v>0</v>
      </c>
      <c r="H6">
        <v>21473.000039999999</v>
      </c>
      <c r="I6">
        <v>1470.0000439999999</v>
      </c>
      <c r="J6">
        <v>20003</v>
      </c>
      <c r="K6">
        <v>1470.0000439999999</v>
      </c>
      <c r="L6">
        <v>0.35443399999999997</v>
      </c>
      <c r="N6">
        <v>1</v>
      </c>
      <c r="P6">
        <v>21473.000039999999</v>
      </c>
      <c r="Q6">
        <v>21473.000039999999</v>
      </c>
      <c r="S6">
        <v>1</v>
      </c>
      <c r="T6">
        <v>1</v>
      </c>
      <c r="U6">
        <v>1</v>
      </c>
      <c r="V6">
        <v>0</v>
      </c>
      <c r="W6">
        <v>0</v>
      </c>
      <c r="X6">
        <v>0</v>
      </c>
      <c r="Y6">
        <v>0</v>
      </c>
      <c r="Z6">
        <v>0</v>
      </c>
      <c r="AA6">
        <v>0.28905799999999998</v>
      </c>
      <c r="AC6">
        <v>5.3963999999999998E-2</v>
      </c>
      <c r="AE6">
        <v>1</v>
      </c>
      <c r="AF6">
        <v>4</v>
      </c>
      <c r="AH6">
        <v>0</v>
      </c>
      <c r="AJ6">
        <v>5</v>
      </c>
      <c r="AL6">
        <v>0</v>
      </c>
      <c r="AN6">
        <v>4</v>
      </c>
      <c r="AO6">
        <v>0</v>
      </c>
      <c r="AP6">
        <v>5</v>
      </c>
      <c r="AQ6">
        <v>0</v>
      </c>
      <c r="AR6">
        <v>4.0000000000000001E-3</v>
      </c>
      <c r="AS6">
        <v>3</v>
      </c>
      <c r="AU6">
        <v>1.333E-3</v>
      </c>
    </row>
    <row r="7" spans="1:48" x14ac:dyDescent="0.3">
      <c r="A7" t="s">
        <v>41</v>
      </c>
      <c r="B7">
        <v>1469.9999660000001</v>
      </c>
      <c r="C7">
        <v>1.0030000000000001E-2</v>
      </c>
      <c r="D7">
        <v>201</v>
      </c>
      <c r="E7">
        <v>835</v>
      </c>
      <c r="F7">
        <v>0</v>
      </c>
      <c r="G7">
        <v>0</v>
      </c>
      <c r="H7">
        <v>21472.999970000001</v>
      </c>
      <c r="I7">
        <v>1470.000076</v>
      </c>
      <c r="J7">
        <v>20003</v>
      </c>
      <c r="K7">
        <v>1469.9999660000001</v>
      </c>
      <c r="L7">
        <v>9.8418999999999993E-2</v>
      </c>
      <c r="N7">
        <v>1</v>
      </c>
      <c r="P7">
        <v>21473.000080000002</v>
      </c>
      <c r="Q7">
        <v>21472.999970000001</v>
      </c>
      <c r="S7">
        <v>1</v>
      </c>
      <c r="T7">
        <v>1</v>
      </c>
      <c r="U7">
        <v>1</v>
      </c>
      <c r="V7">
        <v>0</v>
      </c>
      <c r="W7">
        <v>0</v>
      </c>
      <c r="X7">
        <v>0</v>
      </c>
      <c r="Y7">
        <v>0</v>
      </c>
      <c r="Z7">
        <v>0</v>
      </c>
      <c r="AA7">
        <v>5.0604999999999997E-2</v>
      </c>
      <c r="AC7">
        <v>3.7783999999999998E-2</v>
      </c>
      <c r="AE7">
        <v>1</v>
      </c>
      <c r="AF7">
        <v>0</v>
      </c>
      <c r="AH7">
        <v>0</v>
      </c>
      <c r="AJ7">
        <v>0</v>
      </c>
      <c r="AL7">
        <v>0</v>
      </c>
      <c r="AN7">
        <v>0</v>
      </c>
      <c r="AO7">
        <v>0</v>
      </c>
      <c r="AP7">
        <v>0</v>
      </c>
      <c r="AQ7">
        <v>0</v>
      </c>
      <c r="AR7">
        <v>1E-3</v>
      </c>
      <c r="AS7">
        <v>1</v>
      </c>
      <c r="AU7">
        <v>1E-3</v>
      </c>
    </row>
    <row r="8" spans="1:48" x14ac:dyDescent="0.3">
      <c r="A8" t="s">
        <v>42</v>
      </c>
      <c r="B8">
        <v>1549.999961</v>
      </c>
      <c r="C8">
        <v>1.1627999999999999E-2</v>
      </c>
      <c r="D8">
        <v>201</v>
      </c>
      <c r="E8">
        <v>835</v>
      </c>
      <c r="F8">
        <v>0</v>
      </c>
      <c r="G8">
        <v>0</v>
      </c>
      <c r="H8">
        <v>21552.999960000001</v>
      </c>
      <c r="I8">
        <v>1549.999961</v>
      </c>
      <c r="J8">
        <v>20003</v>
      </c>
      <c r="K8">
        <v>1549.999961</v>
      </c>
      <c r="L8">
        <v>0.237903</v>
      </c>
      <c r="N8">
        <v>1</v>
      </c>
      <c r="P8">
        <v>21552.999960000001</v>
      </c>
      <c r="Q8">
        <v>21552.999960000001</v>
      </c>
      <c r="S8">
        <v>1</v>
      </c>
      <c r="T8">
        <v>1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0.176841</v>
      </c>
      <c r="AC8">
        <v>4.9433999999999999E-2</v>
      </c>
      <c r="AE8">
        <v>1</v>
      </c>
      <c r="AF8">
        <v>4</v>
      </c>
      <c r="AH8">
        <v>2</v>
      </c>
      <c r="AJ8">
        <v>6</v>
      </c>
      <c r="AL8">
        <v>0</v>
      </c>
      <c r="AN8">
        <v>4</v>
      </c>
      <c r="AO8">
        <v>2</v>
      </c>
      <c r="AP8">
        <v>6</v>
      </c>
      <c r="AQ8">
        <v>0</v>
      </c>
      <c r="AR8">
        <v>1E-3</v>
      </c>
      <c r="AS8">
        <v>1</v>
      </c>
      <c r="AU8">
        <v>1E-3</v>
      </c>
    </row>
    <row r="9" spans="1:48" x14ac:dyDescent="0.3">
      <c r="A9" t="s">
        <v>43</v>
      </c>
      <c r="B9">
        <v>1600.000033</v>
      </c>
      <c r="C9">
        <v>1.3821999999999999E-2</v>
      </c>
      <c r="D9">
        <v>161</v>
      </c>
      <c r="E9">
        <v>534</v>
      </c>
      <c r="F9">
        <v>0</v>
      </c>
      <c r="G9">
        <v>0</v>
      </c>
      <c r="H9">
        <v>21603.000029999999</v>
      </c>
      <c r="I9">
        <v>1600.000033</v>
      </c>
      <c r="J9">
        <v>20003</v>
      </c>
      <c r="K9">
        <v>1600.000033</v>
      </c>
      <c r="L9">
        <v>9.501699999999999E-2</v>
      </c>
      <c r="N9">
        <v>1</v>
      </c>
      <c r="P9">
        <v>21603.000029999999</v>
      </c>
      <c r="Q9">
        <v>21603.000029999999</v>
      </c>
      <c r="S9">
        <v>1</v>
      </c>
      <c r="T9">
        <v>1</v>
      </c>
      <c r="U9">
        <v>1</v>
      </c>
      <c r="V9">
        <v>0</v>
      </c>
      <c r="W9">
        <v>0</v>
      </c>
      <c r="X9">
        <v>0</v>
      </c>
      <c r="Y9">
        <v>0</v>
      </c>
      <c r="Z9">
        <v>0</v>
      </c>
      <c r="AA9">
        <v>3.6750999999999999E-2</v>
      </c>
      <c r="AC9">
        <v>4.4443999999999997E-2</v>
      </c>
      <c r="AE9">
        <v>1</v>
      </c>
      <c r="AF9">
        <v>1</v>
      </c>
      <c r="AH9">
        <v>0</v>
      </c>
      <c r="AJ9">
        <v>1</v>
      </c>
      <c r="AL9">
        <v>0</v>
      </c>
      <c r="AN9">
        <v>1</v>
      </c>
      <c r="AO9">
        <v>0</v>
      </c>
      <c r="AP9">
        <v>1</v>
      </c>
      <c r="AQ9">
        <v>0</v>
      </c>
      <c r="AR9">
        <v>3.0000000000000001E-3</v>
      </c>
      <c r="AS9">
        <v>2</v>
      </c>
      <c r="AU9">
        <v>1.5E-3</v>
      </c>
    </row>
    <row r="10" spans="1:48" x14ac:dyDescent="0.3">
      <c r="A10" t="s">
        <v>44</v>
      </c>
      <c r="B10">
        <v>1560.000014</v>
      </c>
      <c r="C10">
        <v>9.1470000000000006E-3</v>
      </c>
      <c r="D10">
        <v>201</v>
      </c>
      <c r="E10">
        <v>835</v>
      </c>
      <c r="F10">
        <v>0</v>
      </c>
      <c r="G10">
        <v>0</v>
      </c>
      <c r="H10">
        <v>21563.00001</v>
      </c>
      <c r="I10">
        <v>1560.000014</v>
      </c>
      <c r="J10">
        <v>20003</v>
      </c>
      <c r="K10">
        <v>1560.000014</v>
      </c>
      <c r="L10">
        <v>0.110205</v>
      </c>
      <c r="N10">
        <v>1</v>
      </c>
      <c r="P10">
        <v>21563.00001</v>
      </c>
      <c r="Q10">
        <v>21563.00001</v>
      </c>
      <c r="S10">
        <v>1</v>
      </c>
      <c r="T10">
        <v>1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5.3068999999999998E-2</v>
      </c>
      <c r="AC10">
        <v>4.7988999999999997E-2</v>
      </c>
      <c r="AE10">
        <v>1</v>
      </c>
      <c r="AF10">
        <v>1</v>
      </c>
      <c r="AH10">
        <v>0</v>
      </c>
      <c r="AJ10">
        <v>3</v>
      </c>
      <c r="AL10">
        <v>0</v>
      </c>
      <c r="AN10">
        <v>1</v>
      </c>
      <c r="AO10">
        <v>0</v>
      </c>
      <c r="AP10">
        <v>3</v>
      </c>
      <c r="AQ10">
        <v>0</v>
      </c>
      <c r="AR10">
        <v>5.0000000000000001E-3</v>
      </c>
      <c r="AS10">
        <v>2</v>
      </c>
      <c r="AU10">
        <v>2.5000000000000001E-3</v>
      </c>
    </row>
    <row r="11" spans="1:48" x14ac:dyDescent="0.3">
      <c r="A11" t="s">
        <v>45</v>
      </c>
      <c r="B11">
        <v>1549.999961</v>
      </c>
      <c r="C11">
        <v>1.1901999999999999E-2</v>
      </c>
      <c r="D11">
        <v>106</v>
      </c>
      <c r="E11">
        <v>273</v>
      </c>
      <c r="F11">
        <v>0</v>
      </c>
      <c r="G11">
        <v>0</v>
      </c>
      <c r="H11">
        <v>21550.999960000001</v>
      </c>
      <c r="I11">
        <v>1549.999961</v>
      </c>
      <c r="J11">
        <v>20001</v>
      </c>
      <c r="K11">
        <v>1549.999961</v>
      </c>
      <c r="L11">
        <v>0.12522</v>
      </c>
      <c r="N11">
        <v>1</v>
      </c>
      <c r="P11">
        <v>21550.999960000001</v>
      </c>
      <c r="Q11">
        <v>21550.999960000001</v>
      </c>
      <c r="S11">
        <v>1</v>
      </c>
      <c r="T11">
        <v>1</v>
      </c>
      <c r="U11">
        <v>1</v>
      </c>
      <c r="V11">
        <v>0</v>
      </c>
      <c r="W11">
        <v>0</v>
      </c>
      <c r="X11">
        <v>0</v>
      </c>
      <c r="Y11">
        <v>0</v>
      </c>
      <c r="Z11">
        <v>0</v>
      </c>
      <c r="AA11">
        <v>3.6940000000000001E-2</v>
      </c>
      <c r="AC11">
        <v>7.6378000000000001E-2</v>
      </c>
      <c r="AE11">
        <v>1</v>
      </c>
      <c r="AF11">
        <v>0</v>
      </c>
      <c r="AH11">
        <v>1</v>
      </c>
      <c r="AJ11">
        <v>20</v>
      </c>
      <c r="AL11">
        <v>0</v>
      </c>
      <c r="AN11">
        <v>0</v>
      </c>
      <c r="AO11">
        <v>1</v>
      </c>
      <c r="AP11">
        <v>20</v>
      </c>
      <c r="AQ11">
        <v>0</v>
      </c>
      <c r="AR11">
        <v>1.6E-2</v>
      </c>
      <c r="AS11">
        <v>3</v>
      </c>
      <c r="AU11">
        <v>5.3330000000000001E-3</v>
      </c>
    </row>
    <row r="12" spans="1:48" x14ac:dyDescent="0.3">
      <c r="A12" t="s">
        <v>46</v>
      </c>
      <c r="B12">
        <v>1630.0000190000001</v>
      </c>
      <c r="C12">
        <v>1.1247999999999999E-2</v>
      </c>
      <c r="D12">
        <v>241</v>
      </c>
      <c r="E12">
        <v>1206</v>
      </c>
      <c r="F12">
        <v>0</v>
      </c>
      <c r="G12">
        <v>0</v>
      </c>
      <c r="H12">
        <v>21633.000019999999</v>
      </c>
      <c r="I12">
        <v>1630.0000190000001</v>
      </c>
      <c r="J12">
        <v>20003</v>
      </c>
      <c r="K12">
        <v>1630.0000190000001</v>
      </c>
      <c r="L12">
        <v>0.36072399999999999</v>
      </c>
      <c r="N12">
        <v>1</v>
      </c>
      <c r="P12">
        <v>21633.000019999999</v>
      </c>
      <c r="Q12">
        <v>21633.000019999999</v>
      </c>
      <c r="S12">
        <v>1</v>
      </c>
      <c r="T12">
        <v>1</v>
      </c>
      <c r="U12">
        <v>1</v>
      </c>
      <c r="V12">
        <v>0</v>
      </c>
      <c r="W12">
        <v>0</v>
      </c>
      <c r="X12">
        <v>0</v>
      </c>
      <c r="Y12">
        <v>0</v>
      </c>
      <c r="Z12">
        <v>0</v>
      </c>
      <c r="AA12">
        <v>0.241533</v>
      </c>
      <c r="AC12">
        <v>0.107943</v>
      </c>
      <c r="AE12">
        <v>1</v>
      </c>
      <c r="AF12">
        <v>1</v>
      </c>
      <c r="AH12">
        <v>1</v>
      </c>
      <c r="AJ12">
        <v>7</v>
      </c>
      <c r="AL12">
        <v>0</v>
      </c>
      <c r="AN12">
        <v>1</v>
      </c>
      <c r="AO12">
        <v>1</v>
      </c>
      <c r="AP12">
        <v>7</v>
      </c>
      <c r="AQ12">
        <v>0</v>
      </c>
      <c r="AR12">
        <v>1.7000000000000001E-2</v>
      </c>
      <c r="AS12">
        <v>2</v>
      </c>
      <c r="AU12">
        <v>8.5000000000000006E-3</v>
      </c>
    </row>
    <row r="13" spans="1:48" x14ac:dyDescent="0.3">
      <c r="A13" t="s">
        <v>47</v>
      </c>
      <c r="B13">
        <v>1490.000063</v>
      </c>
      <c r="C13">
        <v>9.4389999999999995E-3</v>
      </c>
      <c r="D13">
        <v>241</v>
      </c>
      <c r="E13">
        <v>1206</v>
      </c>
      <c r="F13">
        <v>0</v>
      </c>
      <c r="G13">
        <v>0</v>
      </c>
      <c r="H13">
        <v>21493.000059999998</v>
      </c>
      <c r="I13">
        <v>1490.0000379999999</v>
      </c>
      <c r="J13">
        <v>20003</v>
      </c>
      <c r="K13">
        <v>1490.000063</v>
      </c>
      <c r="L13">
        <v>0.593252</v>
      </c>
      <c r="N13">
        <v>1</v>
      </c>
      <c r="P13">
        <v>21493.000039999999</v>
      </c>
      <c r="Q13">
        <v>21493.000059999998</v>
      </c>
      <c r="S13">
        <v>1</v>
      </c>
      <c r="T13">
        <v>1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0.27834500000000001</v>
      </c>
      <c r="AC13">
        <v>0.30546800000000002</v>
      </c>
      <c r="AE13">
        <v>1</v>
      </c>
      <c r="AF13">
        <v>4</v>
      </c>
      <c r="AH13">
        <v>0</v>
      </c>
      <c r="AJ13">
        <v>17</v>
      </c>
      <c r="AL13">
        <v>0</v>
      </c>
      <c r="AN13">
        <v>4</v>
      </c>
      <c r="AO13">
        <v>0</v>
      </c>
      <c r="AP13">
        <v>17</v>
      </c>
      <c r="AQ13">
        <v>0</v>
      </c>
      <c r="AR13">
        <v>4.0000000000000001E-3</v>
      </c>
      <c r="AS13">
        <v>3</v>
      </c>
      <c r="AU13">
        <v>1.333E-3</v>
      </c>
    </row>
    <row r="14" spans="1:48" x14ac:dyDescent="0.3">
      <c r="A14" t="s">
        <v>48</v>
      </c>
      <c r="B14">
        <v>1529.999922</v>
      </c>
      <c r="C14">
        <v>1.1266E-2</v>
      </c>
      <c r="D14">
        <v>201</v>
      </c>
      <c r="E14">
        <v>835</v>
      </c>
      <c r="F14">
        <v>0</v>
      </c>
      <c r="G14">
        <v>0</v>
      </c>
      <c r="H14">
        <v>21531.999919999998</v>
      </c>
      <c r="I14">
        <v>1529.999922</v>
      </c>
      <c r="J14">
        <v>20002</v>
      </c>
      <c r="K14">
        <v>1529.999922</v>
      </c>
      <c r="L14">
        <v>0.11122899999999999</v>
      </c>
      <c r="N14">
        <v>1</v>
      </c>
      <c r="P14">
        <v>21531.999919999998</v>
      </c>
      <c r="Q14">
        <v>21531.999919999998</v>
      </c>
      <c r="S14">
        <v>1</v>
      </c>
      <c r="T14">
        <v>1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4.7988999999999997E-2</v>
      </c>
      <c r="AC14">
        <v>5.1973999999999999E-2</v>
      </c>
      <c r="AE14">
        <v>1</v>
      </c>
      <c r="AF14">
        <v>0</v>
      </c>
      <c r="AH14">
        <v>0</v>
      </c>
      <c r="AJ14">
        <v>0</v>
      </c>
      <c r="AL14">
        <v>0</v>
      </c>
      <c r="AN14">
        <v>0</v>
      </c>
      <c r="AO14">
        <v>0</v>
      </c>
      <c r="AP14">
        <v>0</v>
      </c>
      <c r="AQ14">
        <v>0</v>
      </c>
      <c r="AR14">
        <v>2E-3</v>
      </c>
      <c r="AS14">
        <v>1</v>
      </c>
      <c r="AU14">
        <v>2E-3</v>
      </c>
    </row>
    <row r="15" spans="1:48" x14ac:dyDescent="0.3">
      <c r="A15" t="s">
        <v>49</v>
      </c>
      <c r="B15">
        <v>1630.0000190000001</v>
      </c>
      <c r="C15">
        <v>1.6567999999999999E-2</v>
      </c>
      <c r="D15">
        <v>241</v>
      </c>
      <c r="E15">
        <v>1206</v>
      </c>
      <c r="F15">
        <v>0</v>
      </c>
      <c r="G15">
        <v>0</v>
      </c>
      <c r="H15">
        <v>21633.000019999999</v>
      </c>
      <c r="I15">
        <v>1630.0000190000001</v>
      </c>
      <c r="J15">
        <v>20003</v>
      </c>
      <c r="K15">
        <v>1630.0000190000001</v>
      </c>
      <c r="L15">
        <v>0.21178899999999998</v>
      </c>
      <c r="N15">
        <v>1</v>
      </c>
      <c r="P15">
        <v>21633.000019999999</v>
      </c>
      <c r="Q15">
        <v>21633.000019999999</v>
      </c>
      <c r="S15">
        <v>1</v>
      </c>
      <c r="T15">
        <v>1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0.14582899999999999</v>
      </c>
      <c r="AC15">
        <v>4.9391999999999998E-2</v>
      </c>
      <c r="AE15">
        <v>1</v>
      </c>
      <c r="AF15">
        <v>12</v>
      </c>
      <c r="AH15">
        <v>0</v>
      </c>
      <c r="AJ15">
        <v>3</v>
      </c>
      <c r="AL15">
        <v>0</v>
      </c>
      <c r="AN15">
        <v>12</v>
      </c>
      <c r="AO15">
        <v>0</v>
      </c>
      <c r="AP15">
        <v>3</v>
      </c>
      <c r="AQ15">
        <v>0</v>
      </c>
      <c r="AR15">
        <v>4.0000000000000001E-3</v>
      </c>
      <c r="AS15">
        <v>3</v>
      </c>
      <c r="AU15">
        <v>1.333E-3</v>
      </c>
    </row>
    <row r="16" spans="1:48" x14ac:dyDescent="0.3">
      <c r="A16" t="s">
        <v>50</v>
      </c>
      <c r="B16">
        <v>1639.9999949999999</v>
      </c>
      <c r="C16">
        <v>1.0031999999999999E-2</v>
      </c>
      <c r="D16">
        <v>241</v>
      </c>
      <c r="E16">
        <v>1206</v>
      </c>
      <c r="F16">
        <v>0</v>
      </c>
      <c r="G16">
        <v>0</v>
      </c>
      <c r="H16">
        <v>31642</v>
      </c>
      <c r="I16">
        <v>1639.9999949999999</v>
      </c>
      <c r="J16">
        <v>30002</v>
      </c>
      <c r="K16">
        <v>1639.9999949999999</v>
      </c>
      <c r="L16">
        <v>0.43764699999999995</v>
      </c>
      <c r="N16">
        <v>1</v>
      </c>
      <c r="P16">
        <v>31642</v>
      </c>
      <c r="Q16">
        <v>31642</v>
      </c>
      <c r="S16">
        <v>1</v>
      </c>
      <c r="T16">
        <v>1</v>
      </c>
      <c r="U16">
        <v>1</v>
      </c>
      <c r="V16">
        <v>0</v>
      </c>
      <c r="W16">
        <v>0</v>
      </c>
      <c r="X16">
        <v>0</v>
      </c>
      <c r="Y16">
        <v>0</v>
      </c>
      <c r="Z16">
        <v>0</v>
      </c>
      <c r="AA16">
        <v>0.38522099999999998</v>
      </c>
      <c r="AC16">
        <v>4.2394000000000001E-2</v>
      </c>
      <c r="AE16">
        <v>1</v>
      </c>
      <c r="AF16">
        <v>0</v>
      </c>
      <c r="AH16">
        <v>0</v>
      </c>
      <c r="AJ16">
        <v>0</v>
      </c>
      <c r="AL16">
        <v>0</v>
      </c>
      <c r="AN16">
        <v>0</v>
      </c>
      <c r="AO16">
        <v>0</v>
      </c>
      <c r="AP16">
        <v>0</v>
      </c>
      <c r="AQ16">
        <v>0</v>
      </c>
      <c r="AR16">
        <v>5.0000000000000001E-3</v>
      </c>
      <c r="AS16">
        <v>2</v>
      </c>
      <c r="AU16">
        <v>2.5000000000000001E-3</v>
      </c>
    </row>
    <row r="17" spans="1:48" x14ac:dyDescent="0.3">
      <c r="A17" t="s">
        <v>51</v>
      </c>
      <c r="B17">
        <v>1520.0000379999999</v>
      </c>
      <c r="C17">
        <v>1.0596E-2</v>
      </c>
      <c r="D17">
        <v>201</v>
      </c>
      <c r="E17">
        <v>835</v>
      </c>
      <c r="F17">
        <v>0</v>
      </c>
      <c r="G17">
        <v>0</v>
      </c>
      <c r="H17">
        <v>21523.000039999999</v>
      </c>
      <c r="I17">
        <v>1520.0000379999999</v>
      </c>
      <c r="J17">
        <v>20003</v>
      </c>
      <c r="K17">
        <v>1520.0000379999999</v>
      </c>
      <c r="L17">
        <v>0.37458800000000003</v>
      </c>
      <c r="N17">
        <v>1</v>
      </c>
      <c r="P17">
        <v>21523.000039999999</v>
      </c>
      <c r="Q17">
        <v>21523.000039999999</v>
      </c>
      <c r="S17">
        <v>1</v>
      </c>
      <c r="T17">
        <v>1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0.29674600000000001</v>
      </c>
      <c r="AC17">
        <v>6.7246E-2</v>
      </c>
      <c r="AE17">
        <v>1</v>
      </c>
      <c r="AF17">
        <v>11</v>
      </c>
      <c r="AH17">
        <v>0</v>
      </c>
      <c r="AJ17">
        <v>9</v>
      </c>
      <c r="AL17">
        <v>0</v>
      </c>
      <c r="AN17">
        <v>11</v>
      </c>
      <c r="AO17">
        <v>0</v>
      </c>
      <c r="AP17">
        <v>9</v>
      </c>
      <c r="AQ17">
        <v>0</v>
      </c>
      <c r="AR17">
        <v>4.0000000000000001E-3</v>
      </c>
      <c r="AS17">
        <v>2</v>
      </c>
      <c r="AU17">
        <v>2E-3</v>
      </c>
    </row>
    <row r="18" spans="1:48" x14ac:dyDescent="0.3">
      <c r="A18" t="s">
        <v>52</v>
      </c>
      <c r="B18">
        <v>1609.999961</v>
      </c>
      <c r="C18">
        <v>1.0918000000000001E-2</v>
      </c>
      <c r="D18">
        <v>201</v>
      </c>
      <c r="E18">
        <v>835</v>
      </c>
      <c r="F18">
        <v>0</v>
      </c>
      <c r="G18">
        <v>0</v>
      </c>
      <c r="H18">
        <v>21611.999960000001</v>
      </c>
      <c r="I18">
        <v>1609.999961</v>
      </c>
      <c r="J18">
        <v>20002</v>
      </c>
      <c r="K18">
        <v>1609.999961</v>
      </c>
      <c r="L18">
        <v>0.19856699999999999</v>
      </c>
      <c r="N18">
        <v>1</v>
      </c>
      <c r="P18">
        <v>21611.999960000001</v>
      </c>
      <c r="Q18">
        <v>21611.999960000001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0.140345</v>
      </c>
      <c r="AC18">
        <v>4.7303999999999999E-2</v>
      </c>
      <c r="AE18">
        <v>1</v>
      </c>
      <c r="AF18">
        <v>5</v>
      </c>
      <c r="AH18">
        <v>0</v>
      </c>
      <c r="AJ18">
        <v>1</v>
      </c>
      <c r="AL18">
        <v>0</v>
      </c>
      <c r="AN18">
        <v>5</v>
      </c>
      <c r="AO18">
        <v>0</v>
      </c>
      <c r="AP18">
        <v>1</v>
      </c>
      <c r="AQ18">
        <v>0</v>
      </c>
      <c r="AR18">
        <v>3.0000000000000001E-3</v>
      </c>
      <c r="AS18">
        <v>2</v>
      </c>
      <c r="AU18">
        <v>1.5E-3</v>
      </c>
    </row>
    <row r="19" spans="1:48" x14ac:dyDescent="0.3">
      <c r="A19" t="s">
        <v>53</v>
      </c>
      <c r="B19">
        <v>1200.0000419999999</v>
      </c>
      <c r="C19">
        <v>9.724E-3</v>
      </c>
      <c r="D19">
        <v>241</v>
      </c>
      <c r="E19">
        <v>1206</v>
      </c>
      <c r="F19">
        <v>0</v>
      </c>
      <c r="G19">
        <v>0</v>
      </c>
      <c r="H19">
        <v>21203.000039999999</v>
      </c>
      <c r="I19">
        <v>1200.0000419999999</v>
      </c>
      <c r="J19">
        <v>20003</v>
      </c>
      <c r="K19">
        <v>1200.0000419999999</v>
      </c>
      <c r="L19">
        <v>0.40573700000000001</v>
      </c>
      <c r="N19">
        <v>1</v>
      </c>
      <c r="P19">
        <v>21203.000039999999</v>
      </c>
      <c r="Q19">
        <v>21203.000039999999</v>
      </c>
      <c r="S19">
        <v>1</v>
      </c>
      <c r="T19">
        <v>1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0.339167</v>
      </c>
      <c r="AC19">
        <v>5.6846000000000001E-2</v>
      </c>
      <c r="AE19">
        <v>1</v>
      </c>
      <c r="AF19">
        <v>0</v>
      </c>
      <c r="AH19">
        <v>1</v>
      </c>
      <c r="AJ19">
        <v>8</v>
      </c>
      <c r="AL19">
        <v>0</v>
      </c>
      <c r="AN19">
        <v>0</v>
      </c>
      <c r="AO19">
        <v>1</v>
      </c>
      <c r="AP19">
        <v>8</v>
      </c>
      <c r="AQ19">
        <v>0</v>
      </c>
      <c r="AR19">
        <v>1.4E-2</v>
      </c>
      <c r="AS19">
        <v>2</v>
      </c>
      <c r="AU19">
        <v>7.0000000000000001E-3</v>
      </c>
    </row>
    <row r="20" spans="1:48" x14ac:dyDescent="0.3">
      <c r="A20" t="s">
        <v>54</v>
      </c>
      <c r="B20">
        <v>1479.999951</v>
      </c>
      <c r="C20">
        <v>1.0635E-2</v>
      </c>
      <c r="D20">
        <v>161</v>
      </c>
      <c r="E20">
        <v>534</v>
      </c>
      <c r="F20">
        <v>0</v>
      </c>
      <c r="G20">
        <v>0</v>
      </c>
      <c r="H20">
        <v>31480.999950000001</v>
      </c>
      <c r="I20">
        <v>1479.999951</v>
      </c>
      <c r="J20">
        <v>30001</v>
      </c>
      <c r="K20">
        <v>1479.999951</v>
      </c>
      <c r="L20">
        <v>0.34884899999999996</v>
      </c>
      <c r="N20">
        <v>1</v>
      </c>
      <c r="P20">
        <v>31480.999950000001</v>
      </c>
      <c r="Q20">
        <v>31480.999950000001</v>
      </c>
      <c r="S20">
        <v>1</v>
      </c>
      <c r="T20">
        <v>1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0.24827099999999999</v>
      </c>
      <c r="AC20">
        <v>8.9942999999999995E-2</v>
      </c>
      <c r="AE20">
        <v>1</v>
      </c>
      <c r="AF20">
        <v>2</v>
      </c>
      <c r="AH20">
        <v>3</v>
      </c>
      <c r="AJ20">
        <v>3</v>
      </c>
      <c r="AL20">
        <v>1</v>
      </c>
      <c r="AN20">
        <v>2</v>
      </c>
      <c r="AO20">
        <v>3</v>
      </c>
      <c r="AP20">
        <v>3</v>
      </c>
      <c r="AQ20">
        <v>1</v>
      </c>
      <c r="AR20">
        <v>2.1000000000000001E-2</v>
      </c>
      <c r="AS20">
        <v>3</v>
      </c>
      <c r="AU20">
        <v>7.0000000000000001E-3</v>
      </c>
    </row>
    <row r="21" spans="1:48" x14ac:dyDescent="0.3">
      <c r="A21" t="s">
        <v>55</v>
      </c>
      <c r="B21">
        <v>1569.999965</v>
      </c>
      <c r="C21">
        <v>1.4906000000000001E-2</v>
      </c>
      <c r="D21">
        <v>201</v>
      </c>
      <c r="E21">
        <v>835</v>
      </c>
      <c r="F21">
        <v>0</v>
      </c>
      <c r="G21">
        <v>0</v>
      </c>
      <c r="H21">
        <v>31570.999970000001</v>
      </c>
      <c r="I21">
        <v>1569.999941</v>
      </c>
      <c r="J21">
        <v>30001</v>
      </c>
      <c r="K21">
        <v>1569.999965</v>
      </c>
      <c r="L21">
        <v>0.26162399999999997</v>
      </c>
      <c r="N21">
        <v>1</v>
      </c>
      <c r="P21">
        <v>31570.999940000002</v>
      </c>
      <c r="Q21">
        <v>31570.999970000001</v>
      </c>
      <c r="S21">
        <v>1</v>
      </c>
      <c r="T21">
        <v>1</v>
      </c>
      <c r="U21">
        <v>1</v>
      </c>
      <c r="V21">
        <v>0</v>
      </c>
      <c r="W21">
        <v>0</v>
      </c>
      <c r="X21">
        <v>0</v>
      </c>
      <c r="Y21">
        <v>0</v>
      </c>
      <c r="Z21">
        <v>0</v>
      </c>
      <c r="AA21">
        <v>0.20236199999999999</v>
      </c>
      <c r="AC21">
        <v>4.4356E-2</v>
      </c>
      <c r="AE21">
        <v>1</v>
      </c>
      <c r="AF21">
        <v>3</v>
      </c>
      <c r="AH21">
        <v>0</v>
      </c>
      <c r="AJ21">
        <v>0</v>
      </c>
      <c r="AL21">
        <v>0</v>
      </c>
      <c r="AN21">
        <v>3</v>
      </c>
      <c r="AO21">
        <v>0</v>
      </c>
      <c r="AP21">
        <v>0</v>
      </c>
      <c r="AQ21">
        <v>0</v>
      </c>
      <c r="AR21">
        <v>2E-3</v>
      </c>
      <c r="AS21">
        <v>2</v>
      </c>
      <c r="AU21">
        <v>1E-3</v>
      </c>
    </row>
    <row r="22" spans="1:48" x14ac:dyDescent="0.3">
      <c r="A22" t="s">
        <v>56</v>
      </c>
      <c r="B22">
        <v>1479.999951</v>
      </c>
      <c r="C22">
        <v>1.1586000000000001E-2</v>
      </c>
      <c r="D22">
        <v>201</v>
      </c>
      <c r="E22">
        <v>835</v>
      </c>
      <c r="F22">
        <v>0</v>
      </c>
      <c r="G22">
        <v>0</v>
      </c>
      <c r="H22">
        <v>21482.999950000001</v>
      </c>
      <c r="I22">
        <v>1479.999951</v>
      </c>
      <c r="J22">
        <v>20003</v>
      </c>
      <c r="K22">
        <v>1479.999951</v>
      </c>
      <c r="L22">
        <v>0.21782300000000002</v>
      </c>
      <c r="N22">
        <v>1</v>
      </c>
      <c r="P22">
        <v>21482.999950000001</v>
      </c>
      <c r="Q22">
        <v>21482.999950000001</v>
      </c>
      <c r="S22">
        <v>1</v>
      </c>
      <c r="T22">
        <v>1</v>
      </c>
      <c r="U22">
        <v>1</v>
      </c>
      <c r="V22">
        <v>0</v>
      </c>
      <c r="W22">
        <v>0</v>
      </c>
      <c r="X22">
        <v>0</v>
      </c>
      <c r="Y22">
        <v>0</v>
      </c>
      <c r="Z22">
        <v>0</v>
      </c>
      <c r="AA22">
        <v>0.149092</v>
      </c>
      <c r="AC22">
        <v>5.7145000000000001E-2</v>
      </c>
      <c r="AE22">
        <v>1</v>
      </c>
      <c r="AF22">
        <v>9</v>
      </c>
      <c r="AH22">
        <v>0</v>
      </c>
      <c r="AJ22">
        <v>1</v>
      </c>
      <c r="AL22">
        <v>0</v>
      </c>
      <c r="AN22">
        <v>9</v>
      </c>
      <c r="AO22">
        <v>0</v>
      </c>
      <c r="AP22">
        <v>1</v>
      </c>
      <c r="AQ22">
        <v>0</v>
      </c>
      <c r="AR22">
        <v>3.0000000000000001E-3</v>
      </c>
      <c r="AS22">
        <v>2</v>
      </c>
      <c r="AU22">
        <v>1.5E-3</v>
      </c>
    </row>
    <row r="23" spans="1:48" x14ac:dyDescent="0.3">
      <c r="A23" t="s">
        <v>57</v>
      </c>
      <c r="B23">
        <v>1600.0001010000001</v>
      </c>
      <c r="C23">
        <v>1.2782999999999999E-2</v>
      </c>
      <c r="D23">
        <v>241</v>
      </c>
      <c r="E23">
        <v>1206</v>
      </c>
      <c r="F23">
        <v>0</v>
      </c>
      <c r="G23">
        <v>0</v>
      </c>
      <c r="H23">
        <v>21603.000100000001</v>
      </c>
      <c r="I23">
        <v>1600.0001010000001</v>
      </c>
      <c r="J23">
        <v>20003</v>
      </c>
      <c r="K23">
        <v>1600.0001010000001</v>
      </c>
      <c r="L23">
        <v>0.40632399999999996</v>
      </c>
      <c r="N23">
        <v>1</v>
      </c>
      <c r="P23">
        <v>21603.000100000001</v>
      </c>
      <c r="Q23">
        <v>21603.000100000001</v>
      </c>
      <c r="S23">
        <v>1</v>
      </c>
      <c r="T23">
        <v>1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0.34546199999999999</v>
      </c>
      <c r="AC23">
        <v>4.8078999999999997E-2</v>
      </c>
      <c r="AE23">
        <v>1</v>
      </c>
      <c r="AF23">
        <v>8</v>
      </c>
      <c r="AH23">
        <v>0</v>
      </c>
      <c r="AJ23">
        <v>4</v>
      </c>
      <c r="AL23">
        <v>0</v>
      </c>
      <c r="AN23">
        <v>8</v>
      </c>
      <c r="AO23">
        <v>0</v>
      </c>
      <c r="AP23">
        <v>4</v>
      </c>
      <c r="AQ23">
        <v>0</v>
      </c>
      <c r="AR23">
        <v>2E-3</v>
      </c>
      <c r="AS23">
        <v>1</v>
      </c>
      <c r="AU23">
        <v>2E-3</v>
      </c>
    </row>
    <row r="24" spans="1:48" x14ac:dyDescent="0.3">
      <c r="A24" t="s">
        <v>58</v>
      </c>
      <c r="B24">
        <v>1630.0000190000001</v>
      </c>
      <c r="C24">
        <v>1.1245E-2</v>
      </c>
      <c r="D24">
        <v>161</v>
      </c>
      <c r="E24">
        <v>524</v>
      </c>
      <c r="F24">
        <v>0</v>
      </c>
      <c r="G24">
        <v>0</v>
      </c>
      <c r="H24">
        <v>21633.000019999999</v>
      </c>
      <c r="I24">
        <v>1630.0000190000001</v>
      </c>
      <c r="J24">
        <v>20003</v>
      </c>
      <c r="K24">
        <v>1630.0000190000001</v>
      </c>
      <c r="L24">
        <v>0.26666299999999998</v>
      </c>
      <c r="N24">
        <v>1</v>
      </c>
      <c r="P24">
        <v>21633.000019999999</v>
      </c>
      <c r="Q24">
        <v>21633.000019999999</v>
      </c>
      <c r="S24">
        <v>1</v>
      </c>
      <c r="T24">
        <v>1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0.18448500000000001</v>
      </c>
      <c r="AC24">
        <v>7.0932999999999996E-2</v>
      </c>
      <c r="AE24">
        <v>1</v>
      </c>
      <c r="AF24">
        <v>5</v>
      </c>
      <c r="AH24">
        <v>1</v>
      </c>
      <c r="AJ24">
        <v>4</v>
      </c>
      <c r="AL24">
        <v>0</v>
      </c>
      <c r="AN24">
        <v>5</v>
      </c>
      <c r="AO24">
        <v>1</v>
      </c>
      <c r="AP24">
        <v>4</v>
      </c>
      <c r="AQ24">
        <v>0</v>
      </c>
      <c r="AR24">
        <v>5.0000000000000001E-3</v>
      </c>
      <c r="AS24">
        <v>3</v>
      </c>
      <c r="AU24">
        <v>1.6670000000000001E-3</v>
      </c>
    </row>
    <row r="25" spans="1:48" x14ac:dyDescent="0.3">
      <c r="A25" t="s">
        <v>59</v>
      </c>
      <c r="B25">
        <v>1469.9999150000001</v>
      </c>
      <c r="C25">
        <v>9.3970000000000008E-3</v>
      </c>
      <c r="D25">
        <v>161</v>
      </c>
      <c r="E25">
        <v>534</v>
      </c>
      <c r="F25">
        <v>0</v>
      </c>
      <c r="G25">
        <v>0</v>
      </c>
      <c r="H25">
        <v>21472.999919999998</v>
      </c>
      <c r="I25">
        <v>1469.9999150000001</v>
      </c>
      <c r="J25">
        <v>20003</v>
      </c>
      <c r="K25">
        <v>1469.9999150000001</v>
      </c>
      <c r="L25">
        <v>9.5214999999999994E-2</v>
      </c>
      <c r="N25">
        <v>1</v>
      </c>
      <c r="P25">
        <v>21472.999919999998</v>
      </c>
      <c r="Q25">
        <v>21472.999919999998</v>
      </c>
      <c r="S25">
        <v>1</v>
      </c>
      <c r="T25">
        <v>1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2.9822000000000001E-2</v>
      </c>
      <c r="AC25">
        <v>5.5995999999999997E-2</v>
      </c>
      <c r="AE25">
        <v>1</v>
      </c>
      <c r="AF25">
        <v>2</v>
      </c>
      <c r="AH25">
        <v>0</v>
      </c>
      <c r="AJ25">
        <v>6</v>
      </c>
      <c r="AL25">
        <v>0</v>
      </c>
      <c r="AN25">
        <v>2</v>
      </c>
      <c r="AO25">
        <v>0</v>
      </c>
      <c r="AP25">
        <v>6</v>
      </c>
      <c r="AQ25">
        <v>0</v>
      </c>
      <c r="AR25">
        <v>1.2999999999999999E-2</v>
      </c>
      <c r="AS25">
        <v>1</v>
      </c>
      <c r="AU25">
        <v>1.2999999999999999E-2</v>
      </c>
    </row>
    <row r="26" spans="1:48" x14ac:dyDescent="0.3">
      <c r="A26" t="s">
        <v>60</v>
      </c>
      <c r="B26">
        <v>1609.999961</v>
      </c>
      <c r="C26">
        <v>1.1486E-2</v>
      </c>
      <c r="D26">
        <v>161</v>
      </c>
      <c r="E26">
        <v>534</v>
      </c>
      <c r="F26">
        <v>0</v>
      </c>
      <c r="G26">
        <v>0</v>
      </c>
      <c r="H26">
        <v>21612.999960000001</v>
      </c>
      <c r="I26">
        <v>1609.999961</v>
      </c>
      <c r="J26">
        <v>20003</v>
      </c>
      <c r="K26">
        <v>1609.999961</v>
      </c>
      <c r="L26">
        <v>9.4954999999999998E-2</v>
      </c>
      <c r="N26">
        <v>1</v>
      </c>
      <c r="P26">
        <v>21612.999960000001</v>
      </c>
      <c r="Q26">
        <v>21612.999960000001</v>
      </c>
      <c r="S26">
        <v>1</v>
      </c>
      <c r="T26">
        <v>1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3.04E-2</v>
      </c>
      <c r="AC26">
        <v>5.3068999999999998E-2</v>
      </c>
      <c r="AE26">
        <v>1</v>
      </c>
      <c r="AF26">
        <v>5</v>
      </c>
      <c r="AH26">
        <v>1</v>
      </c>
      <c r="AJ26">
        <v>2</v>
      </c>
      <c r="AL26">
        <v>0</v>
      </c>
      <c r="AN26">
        <v>5</v>
      </c>
      <c r="AO26">
        <v>1</v>
      </c>
      <c r="AP26">
        <v>2</v>
      </c>
      <c r="AQ26">
        <v>0</v>
      </c>
      <c r="AR26">
        <v>5.0000000000000001E-3</v>
      </c>
      <c r="AS26">
        <v>3</v>
      </c>
      <c r="AU26">
        <v>1.6670000000000001E-3</v>
      </c>
    </row>
    <row r="27" spans="1:48" x14ac:dyDescent="0.3">
      <c r="A27" t="s">
        <v>61</v>
      </c>
      <c r="B27">
        <v>1490.000063</v>
      </c>
      <c r="C27">
        <v>9.5720000000000006E-3</v>
      </c>
      <c r="D27">
        <v>201</v>
      </c>
      <c r="E27">
        <v>835</v>
      </c>
      <c r="F27">
        <v>0</v>
      </c>
      <c r="G27">
        <v>0</v>
      </c>
      <c r="H27">
        <v>31493.000059999998</v>
      </c>
      <c r="I27">
        <v>1490.000063</v>
      </c>
      <c r="J27">
        <v>30003</v>
      </c>
      <c r="K27">
        <v>1490.000063</v>
      </c>
      <c r="L27">
        <v>0.43479699999999999</v>
      </c>
      <c r="N27">
        <v>1</v>
      </c>
      <c r="P27">
        <v>31493.000059999998</v>
      </c>
      <c r="Q27">
        <v>31493.000059999998</v>
      </c>
      <c r="S27">
        <v>1</v>
      </c>
      <c r="T27">
        <v>1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0.29606199999999999</v>
      </c>
      <c r="AC27">
        <v>0.129163</v>
      </c>
      <c r="AE27">
        <v>1</v>
      </c>
      <c r="AF27">
        <v>4</v>
      </c>
      <c r="AH27">
        <v>0</v>
      </c>
      <c r="AJ27">
        <v>2</v>
      </c>
      <c r="AL27">
        <v>0</v>
      </c>
      <c r="AN27">
        <v>4</v>
      </c>
      <c r="AO27">
        <v>0</v>
      </c>
      <c r="AP27">
        <v>2</v>
      </c>
      <c r="AQ27">
        <v>0</v>
      </c>
      <c r="AR27">
        <v>5.0000000000000001E-3</v>
      </c>
      <c r="AS27">
        <v>3</v>
      </c>
      <c r="AU27">
        <v>1.6670000000000001E-3</v>
      </c>
    </row>
    <row r="28" spans="1:48" x14ac:dyDescent="0.3">
      <c r="A28" t="s">
        <v>62</v>
      </c>
      <c r="B28">
        <v>1489.9998949999999</v>
      </c>
      <c r="C28">
        <v>9.3139999999999994E-3</v>
      </c>
      <c r="D28">
        <v>161</v>
      </c>
      <c r="E28">
        <v>524</v>
      </c>
      <c r="F28">
        <v>0</v>
      </c>
      <c r="G28">
        <v>0</v>
      </c>
      <c r="H28">
        <v>21490.999899999999</v>
      </c>
      <c r="I28">
        <v>1489.9998949999999</v>
      </c>
      <c r="J28">
        <v>20001</v>
      </c>
      <c r="K28">
        <v>1489.9998949999999</v>
      </c>
      <c r="L28">
        <v>0.36204700000000001</v>
      </c>
      <c r="N28">
        <v>1</v>
      </c>
      <c r="P28">
        <v>21490.999899999999</v>
      </c>
      <c r="Q28">
        <v>21490.999899999999</v>
      </c>
      <c r="S28">
        <v>1</v>
      </c>
      <c r="T28">
        <v>1</v>
      </c>
      <c r="U28">
        <v>1</v>
      </c>
      <c r="V28">
        <v>0</v>
      </c>
      <c r="W28">
        <v>0</v>
      </c>
      <c r="X28">
        <v>0</v>
      </c>
      <c r="Y28">
        <v>0</v>
      </c>
      <c r="Z28">
        <v>0</v>
      </c>
      <c r="AA28">
        <v>0.28335100000000002</v>
      </c>
      <c r="AC28">
        <v>6.9381999999999999E-2</v>
      </c>
      <c r="AE28">
        <v>1</v>
      </c>
      <c r="AF28">
        <v>8</v>
      </c>
      <c r="AH28">
        <v>0</v>
      </c>
      <c r="AJ28">
        <v>1</v>
      </c>
      <c r="AL28">
        <v>1</v>
      </c>
      <c r="AN28">
        <v>8</v>
      </c>
      <c r="AO28">
        <v>0</v>
      </c>
      <c r="AP28">
        <v>1</v>
      </c>
      <c r="AQ28">
        <v>1</v>
      </c>
      <c r="AR28">
        <v>1.2999999999999999E-2</v>
      </c>
      <c r="AS28">
        <v>3</v>
      </c>
      <c r="AU28">
        <v>4.333E-3</v>
      </c>
    </row>
    <row r="29" spans="1:48" x14ac:dyDescent="0.3">
      <c r="A29" t="s">
        <v>63</v>
      </c>
      <c r="B29">
        <v>1490.000063</v>
      </c>
      <c r="C29">
        <v>8.9149999999999993E-3</v>
      </c>
      <c r="D29">
        <v>106</v>
      </c>
      <c r="E29">
        <v>267</v>
      </c>
      <c r="F29">
        <v>0</v>
      </c>
      <c r="G29">
        <v>0</v>
      </c>
      <c r="H29">
        <v>21493.000059999998</v>
      </c>
      <c r="I29">
        <v>1490.000063</v>
      </c>
      <c r="J29">
        <v>20003</v>
      </c>
      <c r="K29">
        <v>1490.000063</v>
      </c>
      <c r="L29">
        <v>0.23647199999999999</v>
      </c>
      <c r="N29">
        <v>1</v>
      </c>
      <c r="P29">
        <v>21493.000059999998</v>
      </c>
      <c r="Q29">
        <v>21493.000059999998</v>
      </c>
      <c r="S29">
        <v>1</v>
      </c>
      <c r="T29">
        <v>1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1.4196E-2</v>
      </c>
      <c r="AC29">
        <v>0.213361</v>
      </c>
      <c r="AE29">
        <v>1</v>
      </c>
      <c r="AF29">
        <v>2</v>
      </c>
      <c r="AH29">
        <v>3</v>
      </c>
      <c r="AJ29">
        <v>20</v>
      </c>
      <c r="AL29">
        <v>0</v>
      </c>
      <c r="AN29">
        <v>2</v>
      </c>
      <c r="AO29">
        <v>3</v>
      </c>
      <c r="AP29">
        <v>20</v>
      </c>
      <c r="AQ29">
        <v>0</v>
      </c>
      <c r="AR29">
        <v>1.7000000000000001E-2</v>
      </c>
      <c r="AS29">
        <v>3</v>
      </c>
      <c r="AU29">
        <v>5.6670000000000002E-3</v>
      </c>
    </row>
    <row r="30" spans="1:48" x14ac:dyDescent="0.3">
      <c r="A30" t="s">
        <v>64</v>
      </c>
      <c r="B30">
        <v>1600.0001010000001</v>
      </c>
      <c r="C30">
        <v>9.8770000000000004E-3</v>
      </c>
      <c r="D30">
        <v>106</v>
      </c>
      <c r="E30">
        <v>273</v>
      </c>
      <c r="F30">
        <v>0</v>
      </c>
      <c r="G30">
        <v>0</v>
      </c>
      <c r="H30">
        <v>21601.000100000001</v>
      </c>
      <c r="I30">
        <v>1600.0001010000001</v>
      </c>
      <c r="J30">
        <v>20001</v>
      </c>
      <c r="K30">
        <v>1600.0001010000001</v>
      </c>
      <c r="L30">
        <v>8.4568999999999991E-2</v>
      </c>
      <c r="N30">
        <v>1</v>
      </c>
      <c r="P30">
        <v>21601.000100000001</v>
      </c>
      <c r="Q30">
        <v>21601.000100000001</v>
      </c>
      <c r="S30">
        <v>1</v>
      </c>
      <c r="T30">
        <v>1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1.106E-2</v>
      </c>
      <c r="AC30">
        <v>6.3631999999999994E-2</v>
      </c>
      <c r="AE30">
        <v>1</v>
      </c>
      <c r="AF30">
        <v>0</v>
      </c>
      <c r="AH30">
        <v>0</v>
      </c>
      <c r="AJ30">
        <v>3</v>
      </c>
      <c r="AL30">
        <v>0</v>
      </c>
      <c r="AN30">
        <v>0</v>
      </c>
      <c r="AO30">
        <v>0</v>
      </c>
      <c r="AP30">
        <v>3</v>
      </c>
      <c r="AQ30">
        <v>0</v>
      </c>
      <c r="AR30">
        <v>1.4999999999999999E-2</v>
      </c>
      <c r="AS30">
        <v>3</v>
      </c>
      <c r="AU30">
        <v>5.0000000000000001E-3</v>
      </c>
    </row>
    <row r="31" spans="1:48" s="1" customFormat="1" x14ac:dyDescent="0.3">
      <c r="A31" s="1" t="s">
        <v>65</v>
      </c>
      <c r="B31" s="1">
        <v>1490.00001</v>
      </c>
      <c r="C31" s="1">
        <v>1.0018000000000001E-2</v>
      </c>
      <c r="D31" s="1">
        <v>201</v>
      </c>
      <c r="E31" s="1">
        <v>835</v>
      </c>
      <c r="F31" s="1">
        <v>0</v>
      </c>
      <c r="G31" s="1">
        <v>0</v>
      </c>
      <c r="H31" s="1">
        <v>21492.00001</v>
      </c>
      <c r="I31" s="1">
        <v>1490.00001</v>
      </c>
      <c r="J31" s="1">
        <v>20002</v>
      </c>
      <c r="K31" s="1">
        <v>1490.00001</v>
      </c>
      <c r="L31" s="1">
        <v>0.18382499999999999</v>
      </c>
      <c r="N31" s="1">
        <v>1</v>
      </c>
      <c r="P31" s="1">
        <v>21492.00001</v>
      </c>
      <c r="Q31" s="1">
        <v>21492.00001</v>
      </c>
      <c r="S31" s="1">
        <v>1</v>
      </c>
      <c r="T31" s="1">
        <v>1</v>
      </c>
      <c r="U31" s="1">
        <v>1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5.0377999999999999E-2</v>
      </c>
      <c r="AC31" s="1">
        <v>0.123429</v>
      </c>
      <c r="AE31" s="1">
        <v>1</v>
      </c>
      <c r="AF31" s="1">
        <v>11</v>
      </c>
      <c r="AH31" s="1">
        <v>0</v>
      </c>
      <c r="AJ31" s="1">
        <v>8</v>
      </c>
      <c r="AL31" s="1">
        <v>0</v>
      </c>
      <c r="AN31" s="1">
        <v>11</v>
      </c>
      <c r="AO31" s="1">
        <v>0</v>
      </c>
      <c r="AP31" s="1">
        <v>8</v>
      </c>
      <c r="AQ31" s="1">
        <v>0</v>
      </c>
      <c r="AR31" s="1">
        <v>2.8000000000000001E-2</v>
      </c>
      <c r="AS31" s="1">
        <v>2</v>
      </c>
      <c r="AU31" s="1">
        <v>1.4E-2</v>
      </c>
    </row>
    <row r="32" spans="1:48" x14ac:dyDescent="0.3">
      <c r="A32" t="s">
        <v>66</v>
      </c>
      <c r="B32">
        <v>3120.0000030000001</v>
      </c>
      <c r="C32">
        <v>1.8017999999999999E-2</v>
      </c>
      <c r="D32">
        <v>541</v>
      </c>
      <c r="E32">
        <v>2886</v>
      </c>
      <c r="F32">
        <v>0</v>
      </c>
      <c r="G32">
        <v>0</v>
      </c>
      <c r="H32">
        <v>43123</v>
      </c>
      <c r="I32">
        <v>3120.0000030000001</v>
      </c>
      <c r="J32">
        <v>40003</v>
      </c>
      <c r="K32">
        <v>3120.0000030000001</v>
      </c>
      <c r="L32">
        <v>1.2273609999999999</v>
      </c>
      <c r="M32">
        <v>4.2614919999999996</v>
      </c>
      <c r="N32">
        <v>1</v>
      </c>
      <c r="O32">
        <f>AVERAGE(N32:N61)</f>
        <v>1</v>
      </c>
      <c r="P32">
        <v>43123</v>
      </c>
      <c r="Q32">
        <v>43123</v>
      </c>
      <c r="R32">
        <f>SUM(S32:S61)</f>
        <v>30</v>
      </c>
      <c r="S32">
        <v>1</v>
      </c>
      <c r="T32">
        <v>1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0.74482999999999999</v>
      </c>
      <c r="AB32">
        <v>2.8766217333333328</v>
      </c>
      <c r="AC32">
        <v>0.46451300000000001</v>
      </c>
      <c r="AD32">
        <v>1.3639532000000005</v>
      </c>
      <c r="AE32">
        <v>1</v>
      </c>
      <c r="AF32">
        <v>42</v>
      </c>
      <c r="AG32">
        <f>AVERAGE(AF32:AF61)</f>
        <v>323.96666666666664</v>
      </c>
      <c r="AH32">
        <v>1</v>
      </c>
      <c r="AI32">
        <f>AVERAGE(AH32:AH61)</f>
        <v>2.5</v>
      </c>
      <c r="AJ32">
        <v>49</v>
      </c>
      <c r="AK32">
        <f>AVERAGE(AJ32:AJ61)</f>
        <v>72.2</v>
      </c>
      <c r="AL32">
        <v>1</v>
      </c>
      <c r="AM32">
        <f>AVERAGE(AL32:AL61)</f>
        <v>6.9666666666666668</v>
      </c>
      <c r="AN32">
        <v>42</v>
      </c>
      <c r="AO32">
        <v>1</v>
      </c>
      <c r="AP32">
        <v>49</v>
      </c>
      <c r="AQ32">
        <v>1</v>
      </c>
      <c r="AR32">
        <v>7.3999999999999996E-2</v>
      </c>
      <c r="AS32">
        <v>3</v>
      </c>
      <c r="AT32">
        <f>AVERAGE(AS32:AS61)</f>
        <v>8.3000000000000007</v>
      </c>
      <c r="AU32">
        <v>2.4667000000000001E-2</v>
      </c>
      <c r="AV32">
        <f>AVERAGE(AU32:AU61)</f>
        <v>4.2327433333333331E-2</v>
      </c>
    </row>
    <row r="33" spans="1:47" x14ac:dyDescent="0.3">
      <c r="A33" t="s">
        <v>67</v>
      </c>
      <c r="B33">
        <v>3039.9996310000001</v>
      </c>
      <c r="C33">
        <v>2.078E-2</v>
      </c>
      <c r="D33">
        <v>451</v>
      </c>
      <c r="E33">
        <v>1995</v>
      </c>
      <c r="F33">
        <v>0</v>
      </c>
      <c r="G33">
        <v>0</v>
      </c>
      <c r="H33">
        <v>43040.999629999998</v>
      </c>
      <c r="I33">
        <v>3039.9996059999999</v>
      </c>
      <c r="J33">
        <v>40001</v>
      </c>
      <c r="K33">
        <v>3039.9996310000001</v>
      </c>
      <c r="L33">
        <v>1.9092359999999999</v>
      </c>
      <c r="N33">
        <v>1</v>
      </c>
      <c r="P33">
        <v>43040.999609999999</v>
      </c>
      <c r="Q33">
        <v>43040.999629999998</v>
      </c>
      <c r="S33">
        <v>1</v>
      </c>
      <c r="T33">
        <v>1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1.3237159999999999</v>
      </c>
      <c r="AC33">
        <v>0.56474000000000002</v>
      </c>
      <c r="AE33">
        <v>1</v>
      </c>
      <c r="AF33">
        <v>62</v>
      </c>
      <c r="AH33">
        <v>2</v>
      </c>
      <c r="AJ33">
        <v>18</v>
      </c>
      <c r="AL33">
        <v>0</v>
      </c>
      <c r="AN33">
        <v>62</v>
      </c>
      <c r="AO33">
        <v>2</v>
      </c>
      <c r="AP33">
        <v>18</v>
      </c>
      <c r="AQ33">
        <v>0</v>
      </c>
      <c r="AR33">
        <v>3.5999999999999997E-2</v>
      </c>
      <c r="AS33">
        <v>1</v>
      </c>
      <c r="AU33">
        <v>3.5999999999999997E-2</v>
      </c>
    </row>
    <row r="34" spans="1:47" x14ac:dyDescent="0.3">
      <c r="A34" t="s">
        <v>68</v>
      </c>
      <c r="B34">
        <v>3019.9997720000001</v>
      </c>
      <c r="C34">
        <v>1.9997999999999998E-2</v>
      </c>
      <c r="D34">
        <v>451</v>
      </c>
      <c r="E34">
        <v>1995</v>
      </c>
      <c r="F34">
        <v>0</v>
      </c>
      <c r="G34">
        <v>0</v>
      </c>
      <c r="H34">
        <v>43022.999770000002</v>
      </c>
      <c r="I34">
        <v>3019.9997720000001</v>
      </c>
      <c r="J34">
        <v>40003</v>
      </c>
      <c r="K34">
        <v>3019.9997720000001</v>
      </c>
      <c r="L34">
        <v>0.35849900000000001</v>
      </c>
      <c r="N34">
        <v>1</v>
      </c>
      <c r="P34">
        <v>43022.999770000002</v>
      </c>
      <c r="Q34">
        <v>43022.999770000002</v>
      </c>
      <c r="S34">
        <v>1</v>
      </c>
      <c r="T34">
        <v>1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0.123141</v>
      </c>
      <c r="AC34">
        <v>0.21536</v>
      </c>
      <c r="AE34">
        <v>1</v>
      </c>
      <c r="AF34">
        <v>28</v>
      </c>
      <c r="AH34">
        <v>1</v>
      </c>
      <c r="AJ34">
        <v>8</v>
      </c>
      <c r="AL34">
        <v>0</v>
      </c>
      <c r="AN34">
        <v>28</v>
      </c>
      <c r="AO34">
        <v>1</v>
      </c>
      <c r="AP34">
        <v>8</v>
      </c>
      <c r="AQ34">
        <v>0</v>
      </c>
      <c r="AR34">
        <v>1.9E-2</v>
      </c>
      <c r="AS34">
        <v>1</v>
      </c>
      <c r="AU34">
        <v>1.9E-2</v>
      </c>
    </row>
    <row r="35" spans="1:47" x14ac:dyDescent="0.3">
      <c r="A35" t="s">
        <v>69</v>
      </c>
      <c r="B35">
        <v>3119.9998260000002</v>
      </c>
      <c r="C35">
        <v>2.5269E-2</v>
      </c>
      <c r="D35">
        <v>451</v>
      </c>
      <c r="E35">
        <v>1995</v>
      </c>
      <c r="F35">
        <v>0</v>
      </c>
      <c r="G35">
        <v>0</v>
      </c>
      <c r="H35">
        <v>43120.992469999997</v>
      </c>
      <c r="I35">
        <v>3119.9998059999998</v>
      </c>
      <c r="J35">
        <v>40000.992639999997</v>
      </c>
      <c r="K35">
        <v>3119.9998260000002</v>
      </c>
      <c r="L35">
        <v>1.9018730000000001</v>
      </c>
      <c r="N35">
        <v>1</v>
      </c>
      <c r="P35">
        <v>43120.992449999998</v>
      </c>
      <c r="Q35">
        <v>43120.992469999997</v>
      </c>
      <c r="S35">
        <v>1</v>
      </c>
      <c r="T35">
        <v>1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0.60683600000000004</v>
      </c>
      <c r="AC35">
        <v>1.269768</v>
      </c>
      <c r="AE35">
        <v>1</v>
      </c>
      <c r="AF35">
        <v>327</v>
      </c>
      <c r="AH35">
        <v>4</v>
      </c>
      <c r="AJ35">
        <v>108</v>
      </c>
      <c r="AL35">
        <v>2</v>
      </c>
      <c r="AN35">
        <v>327</v>
      </c>
      <c r="AO35">
        <v>4</v>
      </c>
      <c r="AP35">
        <v>108</v>
      </c>
      <c r="AQ35">
        <v>2</v>
      </c>
      <c r="AR35">
        <v>0.11899999999999999</v>
      </c>
      <c r="AS35">
        <v>3</v>
      </c>
      <c r="AU35">
        <v>3.9667000000000001E-2</v>
      </c>
    </row>
    <row r="36" spans="1:47" x14ac:dyDescent="0.3">
      <c r="A36" t="s">
        <v>70</v>
      </c>
      <c r="B36">
        <v>3220.0001419999999</v>
      </c>
      <c r="C36">
        <v>1.8915000000000001E-2</v>
      </c>
      <c r="D36">
        <v>451</v>
      </c>
      <c r="E36">
        <v>1995</v>
      </c>
      <c r="F36">
        <v>0</v>
      </c>
      <c r="G36">
        <v>0</v>
      </c>
      <c r="H36">
        <v>53221.000139999996</v>
      </c>
      <c r="I36">
        <v>3220.0001419999999</v>
      </c>
      <c r="J36">
        <v>50001</v>
      </c>
      <c r="K36">
        <v>3220.0001419999999</v>
      </c>
      <c r="L36">
        <v>5.1626139999999996</v>
      </c>
      <c r="N36">
        <v>1</v>
      </c>
      <c r="P36">
        <v>53221.000139999996</v>
      </c>
      <c r="Q36">
        <v>53221.000139999996</v>
      </c>
      <c r="S36">
        <v>1</v>
      </c>
      <c r="T36">
        <v>1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4.2757449999999997</v>
      </c>
      <c r="AC36">
        <v>0.867954</v>
      </c>
      <c r="AE36">
        <v>1</v>
      </c>
      <c r="AF36">
        <v>123</v>
      </c>
      <c r="AH36">
        <v>2</v>
      </c>
      <c r="AJ36">
        <v>43</v>
      </c>
      <c r="AL36">
        <v>3</v>
      </c>
      <c r="AN36">
        <v>123</v>
      </c>
      <c r="AO36">
        <v>2</v>
      </c>
      <c r="AP36">
        <v>43</v>
      </c>
      <c r="AQ36">
        <v>3</v>
      </c>
      <c r="AR36">
        <v>0.14799999999999999</v>
      </c>
      <c r="AS36">
        <v>4</v>
      </c>
      <c r="AU36">
        <v>3.6999999999999998E-2</v>
      </c>
    </row>
    <row r="37" spans="1:47" x14ac:dyDescent="0.3">
      <c r="A37" t="s">
        <v>71</v>
      </c>
      <c r="B37">
        <v>3019.999945</v>
      </c>
      <c r="C37">
        <v>2.4575E-2</v>
      </c>
      <c r="D37">
        <v>361</v>
      </c>
      <c r="E37">
        <v>1244</v>
      </c>
      <c r="F37">
        <v>0</v>
      </c>
      <c r="G37">
        <v>0</v>
      </c>
      <c r="H37">
        <v>43020.999949999998</v>
      </c>
      <c r="I37">
        <v>3019.999945</v>
      </c>
      <c r="J37">
        <v>40001</v>
      </c>
      <c r="K37">
        <v>3019.999945</v>
      </c>
      <c r="L37">
        <v>1.9765190000000001</v>
      </c>
      <c r="N37">
        <v>1</v>
      </c>
      <c r="P37">
        <v>43020.999949999998</v>
      </c>
      <c r="Q37">
        <v>43020.999949999998</v>
      </c>
      <c r="S37">
        <v>1</v>
      </c>
      <c r="T37">
        <v>1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0.45530199999999998</v>
      </c>
      <c r="AC37">
        <v>1.496642</v>
      </c>
      <c r="AE37">
        <v>1</v>
      </c>
      <c r="AF37">
        <v>151</v>
      </c>
      <c r="AH37">
        <v>0</v>
      </c>
      <c r="AJ37">
        <v>14</v>
      </c>
      <c r="AL37">
        <v>9</v>
      </c>
      <c r="AN37">
        <v>151</v>
      </c>
      <c r="AO37">
        <v>0</v>
      </c>
      <c r="AP37">
        <v>14</v>
      </c>
      <c r="AQ37">
        <v>9</v>
      </c>
      <c r="AR37">
        <v>0.39</v>
      </c>
      <c r="AS37">
        <v>10</v>
      </c>
      <c r="AU37">
        <v>3.9E-2</v>
      </c>
    </row>
    <row r="38" spans="1:47" x14ac:dyDescent="0.3">
      <c r="A38" t="s">
        <v>72</v>
      </c>
      <c r="B38">
        <v>2959.9999459999999</v>
      </c>
      <c r="C38">
        <v>2.6137000000000001E-2</v>
      </c>
      <c r="D38">
        <v>451</v>
      </c>
      <c r="E38">
        <v>1995</v>
      </c>
      <c r="F38">
        <v>0</v>
      </c>
      <c r="G38">
        <v>0</v>
      </c>
      <c r="H38">
        <v>52960.999949999998</v>
      </c>
      <c r="I38">
        <v>2959.9999459999999</v>
      </c>
      <c r="J38">
        <v>50001</v>
      </c>
      <c r="K38">
        <v>2959.9999459999999</v>
      </c>
      <c r="L38">
        <v>9.4661910000000002</v>
      </c>
      <c r="N38">
        <v>1</v>
      </c>
      <c r="P38">
        <v>52960.999949999998</v>
      </c>
      <c r="Q38">
        <v>52960.999949999998</v>
      </c>
      <c r="S38">
        <v>1</v>
      </c>
      <c r="T38">
        <v>1</v>
      </c>
      <c r="U38">
        <v>1</v>
      </c>
      <c r="V38">
        <v>0</v>
      </c>
      <c r="W38">
        <v>0</v>
      </c>
      <c r="X38">
        <v>0</v>
      </c>
      <c r="Y38">
        <v>0</v>
      </c>
      <c r="Z38">
        <v>0</v>
      </c>
      <c r="AA38">
        <v>7.3698670000000002</v>
      </c>
      <c r="AC38">
        <v>2.0701870000000002</v>
      </c>
      <c r="AE38">
        <v>1</v>
      </c>
      <c r="AF38">
        <v>680</v>
      </c>
      <c r="AH38">
        <v>10</v>
      </c>
      <c r="AJ38">
        <v>122</v>
      </c>
      <c r="AL38">
        <v>2</v>
      </c>
      <c r="AN38">
        <v>680</v>
      </c>
      <c r="AO38">
        <v>10</v>
      </c>
      <c r="AP38">
        <v>122</v>
      </c>
      <c r="AQ38">
        <v>2</v>
      </c>
      <c r="AR38">
        <v>0.17199999999999999</v>
      </c>
      <c r="AS38">
        <v>4</v>
      </c>
      <c r="AU38">
        <v>4.2999999999999997E-2</v>
      </c>
    </row>
    <row r="39" spans="1:47" x14ac:dyDescent="0.3">
      <c r="A39" t="s">
        <v>73</v>
      </c>
      <c r="B39">
        <v>2939.9999469999998</v>
      </c>
      <c r="C39">
        <v>1.6142E-2</v>
      </c>
      <c r="D39">
        <v>361</v>
      </c>
      <c r="E39">
        <v>1274</v>
      </c>
      <c r="F39">
        <v>0</v>
      </c>
      <c r="G39">
        <v>0</v>
      </c>
      <c r="H39">
        <v>52940.999949999998</v>
      </c>
      <c r="I39">
        <v>2939.9999469999998</v>
      </c>
      <c r="J39">
        <v>50001</v>
      </c>
      <c r="K39">
        <v>2939.9999469999998</v>
      </c>
      <c r="L39">
        <v>11.087016999999999</v>
      </c>
      <c r="N39">
        <v>1</v>
      </c>
      <c r="P39">
        <v>52940.999949999998</v>
      </c>
      <c r="Q39">
        <v>52940.999949999998</v>
      </c>
      <c r="S39">
        <v>1</v>
      </c>
      <c r="T39">
        <v>1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9.6262039999999995</v>
      </c>
      <c r="AC39">
        <v>1.444671</v>
      </c>
      <c r="AE39">
        <v>1</v>
      </c>
      <c r="AF39">
        <v>119</v>
      </c>
      <c r="AH39">
        <v>3</v>
      </c>
      <c r="AJ39">
        <v>104</v>
      </c>
      <c r="AL39">
        <v>7</v>
      </c>
      <c r="AN39">
        <v>119</v>
      </c>
      <c r="AO39">
        <v>3</v>
      </c>
      <c r="AP39">
        <v>104</v>
      </c>
      <c r="AQ39">
        <v>7</v>
      </c>
      <c r="AR39">
        <v>0.38500000000000001</v>
      </c>
      <c r="AS39">
        <v>10</v>
      </c>
      <c r="AU39">
        <v>3.85E-2</v>
      </c>
    </row>
    <row r="40" spans="1:47" x14ac:dyDescent="0.3">
      <c r="A40" t="s">
        <v>74</v>
      </c>
      <c r="B40">
        <v>3260.0000380000001</v>
      </c>
      <c r="C40">
        <v>2.0593E-2</v>
      </c>
      <c r="D40">
        <v>361</v>
      </c>
      <c r="E40">
        <v>1244</v>
      </c>
      <c r="F40">
        <v>0</v>
      </c>
      <c r="G40">
        <v>0</v>
      </c>
      <c r="H40">
        <v>33263.000039999999</v>
      </c>
      <c r="I40">
        <v>3260.0000380000001</v>
      </c>
      <c r="J40">
        <v>30003</v>
      </c>
      <c r="K40">
        <v>3260.0000380000001</v>
      </c>
      <c r="L40">
        <v>0.46932299999999999</v>
      </c>
      <c r="N40">
        <v>1</v>
      </c>
      <c r="P40">
        <v>33263.000039999999</v>
      </c>
      <c r="Q40">
        <v>33263.000039999999</v>
      </c>
      <c r="S40">
        <v>1</v>
      </c>
      <c r="T40">
        <v>1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3.0075000000000001E-2</v>
      </c>
      <c r="AC40">
        <v>0.418655</v>
      </c>
      <c r="AE40">
        <v>1</v>
      </c>
      <c r="AF40">
        <v>27</v>
      </c>
      <c r="AH40">
        <v>0</v>
      </c>
      <c r="AJ40">
        <v>20</v>
      </c>
      <c r="AL40">
        <v>0</v>
      </c>
      <c r="AN40">
        <v>27</v>
      </c>
      <c r="AO40">
        <v>0</v>
      </c>
      <c r="AP40">
        <v>20</v>
      </c>
      <c r="AQ40">
        <v>0</v>
      </c>
      <c r="AR40">
        <v>3.2000000000000001E-2</v>
      </c>
      <c r="AS40">
        <v>1</v>
      </c>
      <c r="AU40">
        <v>3.2000000000000001E-2</v>
      </c>
    </row>
    <row r="41" spans="1:47" x14ac:dyDescent="0.3">
      <c r="A41" t="s">
        <v>75</v>
      </c>
      <c r="B41">
        <v>3019.9999630000002</v>
      </c>
      <c r="C41">
        <v>2.8347000000000001E-2</v>
      </c>
      <c r="D41">
        <v>451</v>
      </c>
      <c r="E41">
        <v>1995</v>
      </c>
      <c r="F41">
        <v>0</v>
      </c>
      <c r="G41">
        <v>0</v>
      </c>
      <c r="H41">
        <v>43021.999960000001</v>
      </c>
      <c r="I41">
        <v>3019.9999630000002</v>
      </c>
      <c r="J41">
        <v>40002</v>
      </c>
      <c r="K41">
        <v>3019.9999630000002</v>
      </c>
      <c r="L41">
        <v>1.3832309999999999</v>
      </c>
      <c r="N41">
        <v>1</v>
      </c>
      <c r="P41">
        <v>43021.999960000001</v>
      </c>
      <c r="Q41">
        <v>43021.999960000001</v>
      </c>
      <c r="S41">
        <v>1</v>
      </c>
      <c r="T41">
        <v>1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0.34938599999999997</v>
      </c>
      <c r="AC41">
        <v>1.005498</v>
      </c>
      <c r="AE41">
        <v>1</v>
      </c>
      <c r="AF41">
        <v>252</v>
      </c>
      <c r="AH41">
        <v>1</v>
      </c>
      <c r="AJ41">
        <v>47</v>
      </c>
      <c r="AL41">
        <v>1</v>
      </c>
      <c r="AN41">
        <v>252</v>
      </c>
      <c r="AO41">
        <v>1</v>
      </c>
      <c r="AP41">
        <v>47</v>
      </c>
      <c r="AQ41">
        <v>1</v>
      </c>
      <c r="AR41">
        <v>6.8000000000000005E-2</v>
      </c>
      <c r="AS41">
        <v>2</v>
      </c>
      <c r="AU41">
        <v>3.4000000000000002E-2</v>
      </c>
    </row>
    <row r="42" spans="1:47" x14ac:dyDescent="0.3">
      <c r="A42" t="s">
        <v>76</v>
      </c>
      <c r="B42">
        <v>3000.0001609999999</v>
      </c>
      <c r="C42">
        <v>1.7802999999999999E-2</v>
      </c>
      <c r="D42">
        <v>541</v>
      </c>
      <c r="E42">
        <v>2886</v>
      </c>
      <c r="F42">
        <v>1E-3</v>
      </c>
      <c r="G42">
        <v>0</v>
      </c>
      <c r="H42">
        <v>43002.000160000003</v>
      </c>
      <c r="I42">
        <v>3000.0001609999999</v>
      </c>
      <c r="J42">
        <v>40002</v>
      </c>
      <c r="K42">
        <v>3000.0001609999999</v>
      </c>
      <c r="L42">
        <v>4.279013</v>
      </c>
      <c r="N42">
        <v>1</v>
      </c>
      <c r="P42">
        <v>43002.000160000003</v>
      </c>
      <c r="Q42">
        <v>43002.000160000003</v>
      </c>
      <c r="S42">
        <v>1</v>
      </c>
      <c r="T42">
        <v>1</v>
      </c>
      <c r="U42">
        <v>1</v>
      </c>
      <c r="V42">
        <v>0</v>
      </c>
      <c r="W42">
        <v>0</v>
      </c>
      <c r="X42">
        <v>0</v>
      </c>
      <c r="Y42">
        <v>0</v>
      </c>
      <c r="Z42">
        <v>0</v>
      </c>
      <c r="AA42">
        <v>3.630957</v>
      </c>
      <c r="AC42">
        <v>0.62925299999999995</v>
      </c>
      <c r="AE42">
        <v>1</v>
      </c>
      <c r="AF42">
        <v>3</v>
      </c>
      <c r="AH42">
        <v>2</v>
      </c>
      <c r="AJ42">
        <v>8</v>
      </c>
      <c r="AL42">
        <v>0</v>
      </c>
      <c r="AN42">
        <v>3</v>
      </c>
      <c r="AO42">
        <v>2</v>
      </c>
      <c r="AP42">
        <v>8</v>
      </c>
      <c r="AQ42">
        <v>0</v>
      </c>
      <c r="AR42">
        <v>9.1999999999999998E-2</v>
      </c>
      <c r="AS42">
        <v>2</v>
      </c>
      <c r="AU42">
        <v>4.5999999999999999E-2</v>
      </c>
    </row>
    <row r="43" spans="1:47" x14ac:dyDescent="0.3">
      <c r="A43" t="s">
        <v>77</v>
      </c>
      <c r="B43">
        <v>3019.9997720000001</v>
      </c>
      <c r="C43">
        <v>1.9008000000000001E-2</v>
      </c>
      <c r="D43">
        <v>451</v>
      </c>
      <c r="E43">
        <v>1995</v>
      </c>
      <c r="F43">
        <v>0</v>
      </c>
      <c r="G43">
        <v>0</v>
      </c>
      <c r="H43">
        <v>43022.999770000002</v>
      </c>
      <c r="I43">
        <v>3019.9997720000001</v>
      </c>
      <c r="J43">
        <v>40003</v>
      </c>
      <c r="K43">
        <v>3019.9997720000001</v>
      </c>
      <c r="L43">
        <v>0.85709400000000002</v>
      </c>
      <c r="N43">
        <v>1</v>
      </c>
      <c r="P43">
        <v>43022.999770000002</v>
      </c>
      <c r="Q43">
        <v>43022.999770000002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>
        <v>0.208399</v>
      </c>
      <c r="AC43">
        <v>0.629687</v>
      </c>
      <c r="AE43">
        <v>1</v>
      </c>
      <c r="AF43">
        <v>70</v>
      </c>
      <c r="AH43">
        <v>0</v>
      </c>
      <c r="AJ43">
        <v>0</v>
      </c>
      <c r="AL43">
        <v>0</v>
      </c>
      <c r="AN43">
        <v>70</v>
      </c>
      <c r="AO43">
        <v>0</v>
      </c>
      <c r="AP43">
        <v>0</v>
      </c>
      <c r="AQ43">
        <v>0</v>
      </c>
      <c r="AR43">
        <v>3.5999999999999997E-2</v>
      </c>
      <c r="AS43">
        <v>1</v>
      </c>
      <c r="AU43">
        <v>3.5999999999999997E-2</v>
      </c>
    </row>
    <row r="44" spans="1:47" x14ac:dyDescent="0.3">
      <c r="A44" t="s">
        <v>78</v>
      </c>
      <c r="B44">
        <v>3119.999675</v>
      </c>
      <c r="C44">
        <v>2.0124E-2</v>
      </c>
      <c r="D44">
        <v>451</v>
      </c>
      <c r="E44">
        <v>1995</v>
      </c>
      <c r="F44">
        <v>0</v>
      </c>
      <c r="G44">
        <v>0</v>
      </c>
      <c r="H44">
        <v>43120.999680000001</v>
      </c>
      <c r="I44">
        <v>3119.9996689999998</v>
      </c>
      <c r="J44">
        <v>40001</v>
      </c>
      <c r="K44">
        <v>3119.999675</v>
      </c>
      <c r="L44">
        <v>4.2171609999999999</v>
      </c>
      <c r="N44">
        <v>1</v>
      </c>
      <c r="P44">
        <v>43120.999669999997</v>
      </c>
      <c r="Q44">
        <v>43120.999680000001</v>
      </c>
      <c r="S44">
        <v>1</v>
      </c>
      <c r="T44">
        <v>1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0.188858</v>
      </c>
      <c r="AC44">
        <v>4.0081790000000002</v>
      </c>
      <c r="AE44">
        <v>1</v>
      </c>
      <c r="AF44">
        <v>2035</v>
      </c>
      <c r="AH44">
        <v>6</v>
      </c>
      <c r="AJ44">
        <v>167</v>
      </c>
      <c r="AL44">
        <v>7</v>
      </c>
      <c r="AN44">
        <v>2035</v>
      </c>
      <c r="AO44">
        <v>6</v>
      </c>
      <c r="AP44">
        <v>167</v>
      </c>
      <c r="AQ44">
        <v>7</v>
      </c>
      <c r="AR44">
        <v>0.45</v>
      </c>
      <c r="AS44">
        <v>8</v>
      </c>
      <c r="AU44">
        <v>5.6250000000000001E-2</v>
      </c>
    </row>
    <row r="45" spans="1:47" x14ac:dyDescent="0.3">
      <c r="A45" t="s">
        <v>79</v>
      </c>
      <c r="B45">
        <v>3039.999855</v>
      </c>
      <c r="C45">
        <v>1.8654E-2</v>
      </c>
      <c r="D45">
        <v>451</v>
      </c>
      <c r="E45">
        <v>1995</v>
      </c>
      <c r="F45">
        <v>0</v>
      </c>
      <c r="G45">
        <v>0</v>
      </c>
      <c r="H45">
        <v>43041.999860000004</v>
      </c>
      <c r="I45">
        <v>3039.9998179999998</v>
      </c>
      <c r="J45">
        <v>40002</v>
      </c>
      <c r="K45">
        <v>3039.999855</v>
      </c>
      <c r="L45">
        <v>3.2698830000000001</v>
      </c>
      <c r="N45">
        <v>1</v>
      </c>
      <c r="P45">
        <v>43041.999819999997</v>
      </c>
      <c r="Q45">
        <v>43041.999860000004</v>
      </c>
      <c r="S45">
        <v>1</v>
      </c>
      <c r="T45">
        <v>1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0.94404500000000002</v>
      </c>
      <c r="AC45">
        <v>2.3071839999999999</v>
      </c>
      <c r="AE45">
        <v>1</v>
      </c>
      <c r="AF45">
        <v>739</v>
      </c>
      <c r="AH45">
        <v>2</v>
      </c>
      <c r="AJ45">
        <v>80</v>
      </c>
      <c r="AL45">
        <v>19</v>
      </c>
      <c r="AN45">
        <v>739</v>
      </c>
      <c r="AO45">
        <v>2</v>
      </c>
      <c r="AP45">
        <v>80</v>
      </c>
      <c r="AQ45">
        <v>19</v>
      </c>
      <c r="AR45">
        <v>0.93</v>
      </c>
      <c r="AS45">
        <v>20</v>
      </c>
      <c r="AU45">
        <v>4.65E-2</v>
      </c>
    </row>
    <row r="46" spans="1:47" x14ac:dyDescent="0.3">
      <c r="A46" t="s">
        <v>80</v>
      </c>
      <c r="B46">
        <v>3200.0002439999998</v>
      </c>
      <c r="C46">
        <v>1.3309E-2</v>
      </c>
      <c r="D46">
        <v>451</v>
      </c>
      <c r="E46">
        <v>1995</v>
      </c>
      <c r="F46">
        <v>0</v>
      </c>
      <c r="G46">
        <v>0</v>
      </c>
      <c r="H46">
        <v>53201.000240000001</v>
      </c>
      <c r="I46">
        <v>3200.0002439999998</v>
      </c>
      <c r="J46">
        <v>50001</v>
      </c>
      <c r="K46">
        <v>3200.0002439999998</v>
      </c>
      <c r="L46">
        <v>1.8217780000000001</v>
      </c>
      <c r="N46">
        <v>1</v>
      </c>
      <c r="P46">
        <v>53201.000240000001</v>
      </c>
      <c r="Q46">
        <v>53201.000240000001</v>
      </c>
      <c r="S46">
        <v>1</v>
      </c>
      <c r="T46">
        <v>1</v>
      </c>
      <c r="U46">
        <v>1</v>
      </c>
      <c r="V46">
        <v>0</v>
      </c>
      <c r="W46">
        <v>0</v>
      </c>
      <c r="X46">
        <v>0</v>
      </c>
      <c r="Y46">
        <v>0</v>
      </c>
      <c r="Z46">
        <v>0</v>
      </c>
      <c r="AA46">
        <v>0.93552800000000003</v>
      </c>
      <c r="AC46">
        <v>0.87294099999999997</v>
      </c>
      <c r="AE46">
        <v>1</v>
      </c>
      <c r="AF46">
        <v>179</v>
      </c>
      <c r="AH46">
        <v>2</v>
      </c>
      <c r="AJ46">
        <v>59</v>
      </c>
      <c r="AL46">
        <v>0</v>
      </c>
      <c r="AN46">
        <v>179</v>
      </c>
      <c r="AO46">
        <v>2</v>
      </c>
      <c r="AP46">
        <v>59</v>
      </c>
      <c r="AQ46">
        <v>0</v>
      </c>
      <c r="AR46">
        <v>3.5999999999999997E-2</v>
      </c>
      <c r="AS46">
        <v>1</v>
      </c>
      <c r="AU46">
        <v>3.5999999999999997E-2</v>
      </c>
    </row>
    <row r="47" spans="1:47" x14ac:dyDescent="0.3">
      <c r="A47" t="s">
        <v>81</v>
      </c>
      <c r="B47">
        <v>2959.9999459999999</v>
      </c>
      <c r="C47">
        <v>1.9015000000000001E-2</v>
      </c>
      <c r="D47">
        <v>541</v>
      </c>
      <c r="E47">
        <v>2886</v>
      </c>
      <c r="F47">
        <v>0</v>
      </c>
      <c r="G47">
        <v>0</v>
      </c>
      <c r="H47">
        <v>42962.999949999998</v>
      </c>
      <c r="I47">
        <v>2959.9999459999999</v>
      </c>
      <c r="J47">
        <v>40003</v>
      </c>
      <c r="K47">
        <v>2959.9999459999999</v>
      </c>
      <c r="L47">
        <v>2.4539470000000003</v>
      </c>
      <c r="N47">
        <v>1</v>
      </c>
      <c r="P47">
        <v>42962.999949999998</v>
      </c>
      <c r="Q47">
        <v>42962.999949999998</v>
      </c>
      <c r="S47">
        <v>1</v>
      </c>
      <c r="T47">
        <v>1</v>
      </c>
      <c r="U47">
        <v>1</v>
      </c>
      <c r="V47">
        <v>0</v>
      </c>
      <c r="W47">
        <v>0</v>
      </c>
      <c r="X47">
        <v>0</v>
      </c>
      <c r="Y47">
        <v>0</v>
      </c>
      <c r="Z47">
        <v>0</v>
      </c>
      <c r="AA47">
        <v>1.333021</v>
      </c>
      <c r="AC47">
        <v>1.1019110000000001</v>
      </c>
      <c r="AE47">
        <v>1</v>
      </c>
      <c r="AF47">
        <v>89</v>
      </c>
      <c r="AH47">
        <v>4</v>
      </c>
      <c r="AJ47">
        <v>37</v>
      </c>
      <c r="AL47">
        <v>1</v>
      </c>
      <c r="AN47">
        <v>89</v>
      </c>
      <c r="AO47">
        <v>4</v>
      </c>
      <c r="AP47">
        <v>37</v>
      </c>
      <c r="AQ47">
        <v>1</v>
      </c>
      <c r="AR47">
        <v>0.28199999999999997</v>
      </c>
      <c r="AS47">
        <v>2</v>
      </c>
      <c r="AU47">
        <v>0.14099999999999999</v>
      </c>
    </row>
    <row r="48" spans="1:47" x14ac:dyDescent="0.3">
      <c r="A48" t="s">
        <v>82</v>
      </c>
      <c r="B48">
        <v>3279.9994409999999</v>
      </c>
      <c r="C48">
        <v>1.9674000000000001E-2</v>
      </c>
      <c r="D48">
        <v>451</v>
      </c>
      <c r="E48">
        <v>1995</v>
      </c>
      <c r="F48">
        <v>0</v>
      </c>
      <c r="G48">
        <v>0</v>
      </c>
      <c r="H48">
        <v>53280.99944</v>
      </c>
      <c r="I48">
        <v>3279.9994409999999</v>
      </c>
      <c r="J48">
        <v>50001</v>
      </c>
      <c r="K48">
        <v>3279.9994409999999</v>
      </c>
      <c r="L48">
        <v>5.8834940000000007</v>
      </c>
      <c r="N48">
        <v>1</v>
      </c>
      <c r="P48">
        <v>53280.99944</v>
      </c>
      <c r="Q48">
        <v>53280.99944</v>
      </c>
      <c r="S48">
        <v>1</v>
      </c>
      <c r="T48">
        <v>1</v>
      </c>
      <c r="U48">
        <v>1</v>
      </c>
      <c r="V48">
        <v>0</v>
      </c>
      <c r="W48">
        <v>0</v>
      </c>
      <c r="X48">
        <v>0</v>
      </c>
      <c r="Y48">
        <v>0</v>
      </c>
      <c r="Z48">
        <v>0</v>
      </c>
      <c r="AA48">
        <v>5.2861440000000002</v>
      </c>
      <c r="AC48">
        <v>0.57767599999999997</v>
      </c>
      <c r="AE48">
        <v>1</v>
      </c>
      <c r="AF48">
        <v>12</v>
      </c>
      <c r="AH48">
        <v>1</v>
      </c>
      <c r="AJ48">
        <v>27</v>
      </c>
      <c r="AL48">
        <v>1</v>
      </c>
      <c r="AN48">
        <v>12</v>
      </c>
      <c r="AO48">
        <v>1</v>
      </c>
      <c r="AP48">
        <v>27</v>
      </c>
      <c r="AQ48">
        <v>1</v>
      </c>
      <c r="AR48">
        <v>8.8999999999999996E-2</v>
      </c>
      <c r="AS48">
        <v>3</v>
      </c>
      <c r="AU48">
        <v>2.9666999999999999E-2</v>
      </c>
    </row>
    <row r="49" spans="1:48" x14ac:dyDescent="0.3">
      <c r="A49" t="s">
        <v>83</v>
      </c>
      <c r="B49">
        <v>3119.999957</v>
      </c>
      <c r="C49">
        <v>2.4993000000000001E-2</v>
      </c>
      <c r="D49">
        <v>541</v>
      </c>
      <c r="E49">
        <v>2886</v>
      </c>
      <c r="F49">
        <v>0</v>
      </c>
      <c r="G49">
        <v>0</v>
      </c>
      <c r="H49">
        <v>53120.999960000001</v>
      </c>
      <c r="I49">
        <v>3119.999957</v>
      </c>
      <c r="J49">
        <v>50001</v>
      </c>
      <c r="K49">
        <v>3119.999957</v>
      </c>
      <c r="L49">
        <v>21.012923000000001</v>
      </c>
      <c r="N49">
        <v>1</v>
      </c>
      <c r="P49">
        <v>53120.999960000001</v>
      </c>
      <c r="Q49">
        <v>53120.999960000001</v>
      </c>
      <c r="S49">
        <v>1</v>
      </c>
      <c r="T49">
        <v>1</v>
      </c>
      <c r="U49">
        <v>1</v>
      </c>
      <c r="V49">
        <v>0</v>
      </c>
      <c r="W49">
        <v>0</v>
      </c>
      <c r="X49">
        <v>0</v>
      </c>
      <c r="Y49">
        <v>0</v>
      </c>
      <c r="Z49">
        <v>0</v>
      </c>
      <c r="AA49">
        <v>20.508022</v>
      </c>
      <c r="AC49">
        <v>0.479908</v>
      </c>
      <c r="AE49">
        <v>1</v>
      </c>
      <c r="AF49">
        <v>58</v>
      </c>
      <c r="AH49">
        <v>1</v>
      </c>
      <c r="AJ49">
        <v>37</v>
      </c>
      <c r="AL49">
        <v>0</v>
      </c>
      <c r="AN49">
        <v>58</v>
      </c>
      <c r="AO49">
        <v>1</v>
      </c>
      <c r="AP49">
        <v>37</v>
      </c>
      <c r="AQ49">
        <v>0</v>
      </c>
      <c r="AR49">
        <v>3.7999999999999999E-2</v>
      </c>
      <c r="AS49">
        <v>1</v>
      </c>
      <c r="AU49">
        <v>3.7999999999999999E-2</v>
      </c>
    </row>
    <row r="50" spans="1:48" x14ac:dyDescent="0.3">
      <c r="A50" t="s">
        <v>84</v>
      </c>
      <c r="B50">
        <v>2999.9998270000001</v>
      </c>
      <c r="C50">
        <v>1.7899999999999999E-2</v>
      </c>
      <c r="D50">
        <v>451</v>
      </c>
      <c r="E50">
        <v>1995</v>
      </c>
      <c r="F50">
        <v>0</v>
      </c>
      <c r="G50">
        <v>0</v>
      </c>
      <c r="H50">
        <v>43004.999830000001</v>
      </c>
      <c r="I50">
        <v>2999.9998270000001</v>
      </c>
      <c r="J50">
        <v>40005</v>
      </c>
      <c r="K50">
        <v>2999.9998270000001</v>
      </c>
      <c r="L50">
        <v>0.945824</v>
      </c>
      <c r="N50">
        <v>1</v>
      </c>
      <c r="P50">
        <v>43004.999830000001</v>
      </c>
      <c r="Q50">
        <v>43004.999830000001</v>
      </c>
      <c r="S50">
        <v>1</v>
      </c>
      <c r="T50">
        <v>1</v>
      </c>
      <c r="U50">
        <v>1</v>
      </c>
      <c r="V50">
        <v>0</v>
      </c>
      <c r="W50">
        <v>0</v>
      </c>
      <c r="X50">
        <v>0</v>
      </c>
      <c r="Y50">
        <v>0</v>
      </c>
      <c r="Z50">
        <v>0</v>
      </c>
      <c r="AA50">
        <v>0.199129</v>
      </c>
      <c r="AC50">
        <v>0.72879499999999997</v>
      </c>
      <c r="AE50">
        <v>1</v>
      </c>
      <c r="AF50">
        <v>42</v>
      </c>
      <c r="AH50">
        <v>4</v>
      </c>
      <c r="AJ50">
        <v>111</v>
      </c>
      <c r="AL50">
        <v>0</v>
      </c>
      <c r="AN50">
        <v>42</v>
      </c>
      <c r="AO50">
        <v>4</v>
      </c>
      <c r="AP50">
        <v>111</v>
      </c>
      <c r="AQ50">
        <v>0</v>
      </c>
      <c r="AR50">
        <v>3.6999999999999998E-2</v>
      </c>
      <c r="AS50">
        <v>1</v>
      </c>
      <c r="AU50">
        <v>3.6999999999999998E-2</v>
      </c>
    </row>
    <row r="51" spans="1:48" x14ac:dyDescent="0.3">
      <c r="A51" t="s">
        <v>85</v>
      </c>
      <c r="B51">
        <v>2999.9998270000001</v>
      </c>
      <c r="C51">
        <v>2.4781999999999998E-2</v>
      </c>
      <c r="D51">
        <v>451</v>
      </c>
      <c r="E51">
        <v>1995</v>
      </c>
      <c r="F51">
        <v>0</v>
      </c>
      <c r="G51">
        <v>0</v>
      </c>
      <c r="H51">
        <v>43002.999830000001</v>
      </c>
      <c r="I51">
        <v>2999.9998270000001</v>
      </c>
      <c r="J51">
        <v>40003</v>
      </c>
      <c r="K51">
        <v>2999.9998270000001</v>
      </c>
      <c r="L51">
        <v>2.660663</v>
      </c>
      <c r="N51">
        <v>1</v>
      </c>
      <c r="P51">
        <v>43002.999830000001</v>
      </c>
      <c r="Q51">
        <v>43002.999830000001</v>
      </c>
      <c r="S51">
        <v>1</v>
      </c>
      <c r="T51">
        <v>1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0.52539899999999995</v>
      </c>
      <c r="AC51">
        <v>2.1104820000000002</v>
      </c>
      <c r="AE51">
        <v>1</v>
      </c>
      <c r="AF51">
        <v>549</v>
      </c>
      <c r="AH51">
        <v>1</v>
      </c>
      <c r="AJ51">
        <v>76</v>
      </c>
      <c r="AL51">
        <v>29</v>
      </c>
      <c r="AN51">
        <v>549</v>
      </c>
      <c r="AO51">
        <v>1</v>
      </c>
      <c r="AP51">
        <v>76</v>
      </c>
      <c r="AQ51">
        <v>29</v>
      </c>
      <c r="AR51">
        <v>1.02</v>
      </c>
      <c r="AS51">
        <v>30</v>
      </c>
      <c r="AU51">
        <v>3.4000000000000002E-2</v>
      </c>
    </row>
    <row r="52" spans="1:48" x14ac:dyDescent="0.3">
      <c r="A52" t="s">
        <v>86</v>
      </c>
      <c r="B52">
        <v>3239.9997950000002</v>
      </c>
      <c r="C52">
        <v>2.0088000000000002E-2</v>
      </c>
      <c r="D52">
        <v>451</v>
      </c>
      <c r="E52">
        <v>1995</v>
      </c>
      <c r="F52">
        <v>0</v>
      </c>
      <c r="G52">
        <v>0</v>
      </c>
      <c r="H52">
        <v>43243.999799999998</v>
      </c>
      <c r="I52">
        <v>3239.9997950000002</v>
      </c>
      <c r="J52">
        <v>40004</v>
      </c>
      <c r="K52">
        <v>3239.9997950000002</v>
      </c>
      <c r="L52">
        <v>0.400173</v>
      </c>
      <c r="N52">
        <v>1</v>
      </c>
      <c r="P52">
        <v>43243.999799999998</v>
      </c>
      <c r="Q52">
        <v>43243.999799999998</v>
      </c>
      <c r="S52">
        <v>1</v>
      </c>
      <c r="T52">
        <v>1</v>
      </c>
      <c r="U52">
        <v>1</v>
      </c>
      <c r="V52">
        <v>0</v>
      </c>
      <c r="W52">
        <v>0</v>
      </c>
      <c r="X52">
        <v>0</v>
      </c>
      <c r="Y52">
        <v>0</v>
      </c>
      <c r="Z52">
        <v>0</v>
      </c>
      <c r="AA52">
        <v>0.14635400000000001</v>
      </c>
      <c r="AC52">
        <v>0.23373099999999999</v>
      </c>
      <c r="AE52">
        <v>1</v>
      </c>
      <c r="AF52">
        <v>3</v>
      </c>
      <c r="AH52">
        <v>0</v>
      </c>
      <c r="AJ52">
        <v>6</v>
      </c>
      <c r="AL52">
        <v>0</v>
      </c>
      <c r="AN52">
        <v>3</v>
      </c>
      <c r="AO52">
        <v>0</v>
      </c>
      <c r="AP52">
        <v>6</v>
      </c>
      <c r="AQ52">
        <v>0</v>
      </c>
      <c r="AR52">
        <v>2.5000000000000001E-2</v>
      </c>
      <c r="AS52">
        <v>1</v>
      </c>
      <c r="AU52">
        <v>2.5000000000000001E-2</v>
      </c>
    </row>
    <row r="53" spans="1:48" x14ac:dyDescent="0.3">
      <c r="A53" t="s">
        <v>87</v>
      </c>
      <c r="B53">
        <v>3019.999945</v>
      </c>
      <c r="C53">
        <v>1.7642000000000001E-2</v>
      </c>
      <c r="D53">
        <v>451</v>
      </c>
      <c r="E53">
        <v>1995</v>
      </c>
      <c r="F53">
        <v>0</v>
      </c>
      <c r="G53">
        <v>0</v>
      </c>
      <c r="H53">
        <v>43022.999949999998</v>
      </c>
      <c r="I53">
        <v>3019.999945</v>
      </c>
      <c r="J53">
        <v>40003</v>
      </c>
      <c r="K53">
        <v>3019.999945</v>
      </c>
      <c r="L53">
        <v>1.943354</v>
      </c>
      <c r="N53">
        <v>1</v>
      </c>
      <c r="P53">
        <v>43022.999949999998</v>
      </c>
      <c r="Q53">
        <v>43022.999949999998</v>
      </c>
      <c r="S53">
        <v>1</v>
      </c>
      <c r="T53">
        <v>1</v>
      </c>
      <c r="U53">
        <v>1</v>
      </c>
      <c r="V53">
        <v>0</v>
      </c>
      <c r="W53">
        <v>0</v>
      </c>
      <c r="X53">
        <v>0</v>
      </c>
      <c r="Y53">
        <v>0</v>
      </c>
      <c r="Z53">
        <v>0</v>
      </c>
      <c r="AA53">
        <v>0.51274900000000001</v>
      </c>
      <c r="AC53">
        <v>1.412963</v>
      </c>
      <c r="AE53">
        <v>1</v>
      </c>
      <c r="AF53">
        <v>42</v>
      </c>
      <c r="AH53">
        <v>2</v>
      </c>
      <c r="AJ53">
        <v>52</v>
      </c>
      <c r="AL53">
        <v>17</v>
      </c>
      <c r="AN53">
        <v>42</v>
      </c>
      <c r="AO53">
        <v>2</v>
      </c>
      <c r="AP53">
        <v>52</v>
      </c>
      <c r="AQ53">
        <v>17</v>
      </c>
      <c r="AR53">
        <v>0.70299999999999996</v>
      </c>
      <c r="AS53">
        <v>18</v>
      </c>
      <c r="AU53">
        <v>3.9056E-2</v>
      </c>
    </row>
    <row r="54" spans="1:48" x14ac:dyDescent="0.3">
      <c r="A54" t="s">
        <v>88</v>
      </c>
      <c r="B54">
        <v>3119.9995309999999</v>
      </c>
      <c r="C54">
        <v>3.4637000000000001E-2</v>
      </c>
      <c r="D54">
        <v>451</v>
      </c>
      <c r="E54">
        <v>1995</v>
      </c>
      <c r="F54">
        <v>0</v>
      </c>
      <c r="G54">
        <v>0</v>
      </c>
      <c r="H54">
        <v>43124.999530000001</v>
      </c>
      <c r="I54">
        <v>3119.9995309999999</v>
      </c>
      <c r="J54">
        <v>40005</v>
      </c>
      <c r="K54">
        <v>3119.9995309999999</v>
      </c>
      <c r="L54">
        <v>2.9762310000000003</v>
      </c>
      <c r="N54">
        <v>1</v>
      </c>
      <c r="P54">
        <v>43124.999530000001</v>
      </c>
      <c r="Q54">
        <v>43124.999530000001</v>
      </c>
      <c r="S54">
        <v>1</v>
      </c>
      <c r="T54">
        <v>1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0.58697100000000002</v>
      </c>
      <c r="AC54">
        <v>2.3546230000000001</v>
      </c>
      <c r="AE54">
        <v>1</v>
      </c>
      <c r="AF54">
        <v>583</v>
      </c>
      <c r="AH54">
        <v>4</v>
      </c>
      <c r="AJ54">
        <v>188</v>
      </c>
      <c r="AL54">
        <v>11</v>
      </c>
      <c r="AN54">
        <v>583</v>
      </c>
      <c r="AO54">
        <v>4</v>
      </c>
      <c r="AP54">
        <v>188</v>
      </c>
      <c r="AQ54">
        <v>11</v>
      </c>
      <c r="AR54">
        <v>0.69199999999999995</v>
      </c>
      <c r="AS54">
        <v>13</v>
      </c>
      <c r="AU54">
        <v>5.3231000000000001E-2</v>
      </c>
    </row>
    <row r="55" spans="1:48" x14ac:dyDescent="0.3">
      <c r="A55" t="s">
        <v>89</v>
      </c>
      <c r="B55">
        <v>3019.9999630000002</v>
      </c>
      <c r="C55">
        <v>2.2797000000000001E-2</v>
      </c>
      <c r="D55">
        <v>541</v>
      </c>
      <c r="E55">
        <v>2886</v>
      </c>
      <c r="F55">
        <v>0</v>
      </c>
      <c r="G55">
        <v>0</v>
      </c>
      <c r="H55">
        <v>43022.999960000001</v>
      </c>
      <c r="I55">
        <v>3019.9999630000002</v>
      </c>
      <c r="J55">
        <v>40003</v>
      </c>
      <c r="K55">
        <v>3019.9999630000002</v>
      </c>
      <c r="L55">
        <v>1.8723879999999999</v>
      </c>
      <c r="N55">
        <v>1</v>
      </c>
      <c r="P55">
        <v>43022.999960000001</v>
      </c>
      <c r="Q55">
        <v>43022.999960000001</v>
      </c>
      <c r="S55">
        <v>1</v>
      </c>
      <c r="T55">
        <v>1</v>
      </c>
      <c r="U55">
        <v>1</v>
      </c>
      <c r="V55">
        <v>0</v>
      </c>
      <c r="W55">
        <v>0</v>
      </c>
      <c r="X55">
        <v>0</v>
      </c>
      <c r="Y55">
        <v>0</v>
      </c>
      <c r="Z55">
        <v>0</v>
      </c>
      <c r="AA55">
        <v>0.30104199999999998</v>
      </c>
      <c r="AC55">
        <v>1.548549</v>
      </c>
      <c r="AE55">
        <v>1</v>
      </c>
      <c r="AF55">
        <v>139</v>
      </c>
      <c r="AH55">
        <v>2</v>
      </c>
      <c r="AJ55">
        <v>73</v>
      </c>
      <c r="AL55">
        <v>14</v>
      </c>
      <c r="AN55">
        <v>139</v>
      </c>
      <c r="AO55">
        <v>2</v>
      </c>
      <c r="AP55">
        <v>73</v>
      </c>
      <c r="AQ55">
        <v>14</v>
      </c>
      <c r="AR55">
        <v>0.48799999999999999</v>
      </c>
      <c r="AS55">
        <v>15</v>
      </c>
      <c r="AU55">
        <v>3.2532999999999999E-2</v>
      </c>
    </row>
    <row r="56" spans="1:48" x14ac:dyDescent="0.3">
      <c r="A56" t="s">
        <v>90</v>
      </c>
      <c r="B56">
        <v>3000.0001609999999</v>
      </c>
      <c r="C56">
        <v>1.8800999999999998E-2</v>
      </c>
      <c r="D56">
        <v>451</v>
      </c>
      <c r="E56">
        <v>1995</v>
      </c>
      <c r="F56">
        <v>0</v>
      </c>
      <c r="G56">
        <v>0</v>
      </c>
      <c r="H56">
        <v>53001.000160000003</v>
      </c>
      <c r="I56">
        <v>3000.0001609999999</v>
      </c>
      <c r="J56">
        <v>50001</v>
      </c>
      <c r="K56">
        <v>3000.0001609999999</v>
      </c>
      <c r="L56">
        <v>6.1403679999999996</v>
      </c>
      <c r="N56">
        <v>1</v>
      </c>
      <c r="P56">
        <v>53001.000160000003</v>
      </c>
      <c r="Q56">
        <v>53001.000160000003</v>
      </c>
      <c r="S56">
        <v>1</v>
      </c>
      <c r="T56">
        <v>1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4.4168649999999996</v>
      </c>
      <c r="AC56">
        <v>1.7047019999999999</v>
      </c>
      <c r="AE56">
        <v>1</v>
      </c>
      <c r="AF56">
        <v>194</v>
      </c>
      <c r="AH56">
        <v>7</v>
      </c>
      <c r="AJ56">
        <v>58</v>
      </c>
      <c r="AL56">
        <v>18</v>
      </c>
      <c r="AN56">
        <v>194</v>
      </c>
      <c r="AO56">
        <v>7</v>
      </c>
      <c r="AP56">
        <v>58</v>
      </c>
      <c r="AQ56">
        <v>18</v>
      </c>
      <c r="AR56">
        <v>0.95599999999999996</v>
      </c>
      <c r="AS56">
        <v>19</v>
      </c>
      <c r="AU56">
        <v>5.0316E-2</v>
      </c>
    </row>
    <row r="57" spans="1:48" x14ac:dyDescent="0.3">
      <c r="A57" t="s">
        <v>91</v>
      </c>
      <c r="B57">
        <v>3020.0000460000001</v>
      </c>
      <c r="C57">
        <v>2.0851000000000001E-2</v>
      </c>
      <c r="D57">
        <v>451</v>
      </c>
      <c r="E57">
        <v>1995</v>
      </c>
      <c r="F57">
        <v>0</v>
      </c>
      <c r="G57">
        <v>0</v>
      </c>
      <c r="H57">
        <v>43022.000050000002</v>
      </c>
      <c r="I57">
        <v>3020.0000460000001</v>
      </c>
      <c r="J57">
        <v>40002</v>
      </c>
      <c r="K57">
        <v>3020.0000460000001</v>
      </c>
      <c r="L57">
        <v>1.461997</v>
      </c>
      <c r="N57">
        <v>1</v>
      </c>
      <c r="P57">
        <v>43022.000050000002</v>
      </c>
      <c r="Q57">
        <v>43022.000050000002</v>
      </c>
      <c r="S57">
        <v>1</v>
      </c>
      <c r="T57">
        <v>1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0.48572700000000002</v>
      </c>
      <c r="AC57">
        <v>0.95541900000000002</v>
      </c>
      <c r="AE57">
        <v>1</v>
      </c>
      <c r="AF57">
        <v>306</v>
      </c>
      <c r="AH57">
        <v>0</v>
      </c>
      <c r="AJ57">
        <v>16</v>
      </c>
      <c r="AL57">
        <v>0</v>
      </c>
      <c r="AN57">
        <v>306</v>
      </c>
      <c r="AO57">
        <v>0</v>
      </c>
      <c r="AP57">
        <v>16</v>
      </c>
      <c r="AQ57">
        <v>0</v>
      </c>
      <c r="AR57">
        <v>8.5999999999999993E-2</v>
      </c>
      <c r="AS57">
        <v>2</v>
      </c>
      <c r="AU57">
        <v>4.2999999999999997E-2</v>
      </c>
    </row>
    <row r="58" spans="1:48" x14ac:dyDescent="0.3">
      <c r="A58" t="s">
        <v>92</v>
      </c>
      <c r="B58">
        <v>3279.9994409999999</v>
      </c>
      <c r="C58">
        <v>1.9342999999999999E-2</v>
      </c>
      <c r="D58">
        <v>451</v>
      </c>
      <c r="E58">
        <v>1995</v>
      </c>
      <c r="F58">
        <v>0</v>
      </c>
      <c r="G58">
        <v>0</v>
      </c>
      <c r="H58">
        <v>53280.99944</v>
      </c>
      <c r="I58">
        <v>3279.9994409999999</v>
      </c>
      <c r="J58">
        <v>50001</v>
      </c>
      <c r="K58">
        <v>3279.9994409999999</v>
      </c>
      <c r="L58">
        <v>7.7741259999999999</v>
      </c>
      <c r="N58">
        <v>1</v>
      </c>
      <c r="P58">
        <v>53280.99944</v>
      </c>
      <c r="Q58">
        <v>53280.99944</v>
      </c>
      <c r="S58">
        <v>1</v>
      </c>
      <c r="T58">
        <v>1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7.5032480000000001</v>
      </c>
      <c r="AC58">
        <v>0.25153500000000001</v>
      </c>
      <c r="AE58">
        <v>1</v>
      </c>
      <c r="AF58">
        <v>2</v>
      </c>
      <c r="AH58">
        <v>2</v>
      </c>
      <c r="AJ58">
        <v>33</v>
      </c>
      <c r="AL58">
        <v>0</v>
      </c>
      <c r="AN58">
        <v>2</v>
      </c>
      <c r="AO58">
        <v>2</v>
      </c>
      <c r="AP58">
        <v>33</v>
      </c>
      <c r="AQ58">
        <v>0</v>
      </c>
      <c r="AR58">
        <v>3.5999999999999997E-2</v>
      </c>
      <c r="AS58">
        <v>1</v>
      </c>
      <c r="AU58">
        <v>3.5999999999999997E-2</v>
      </c>
    </row>
    <row r="59" spans="1:48" x14ac:dyDescent="0.3">
      <c r="A59" t="s">
        <v>93</v>
      </c>
      <c r="B59">
        <v>3100.0003190000002</v>
      </c>
      <c r="C59">
        <v>2.2172000000000001E-2</v>
      </c>
      <c r="D59">
        <v>451</v>
      </c>
      <c r="E59">
        <v>1995</v>
      </c>
      <c r="F59">
        <v>0</v>
      </c>
      <c r="G59">
        <v>0</v>
      </c>
      <c r="H59">
        <v>43105.000319999999</v>
      </c>
      <c r="I59">
        <v>3100.0001040000002</v>
      </c>
      <c r="J59">
        <v>40005</v>
      </c>
      <c r="K59">
        <v>3100.0003190000002</v>
      </c>
      <c r="L59">
        <v>0.75024999999999997</v>
      </c>
      <c r="N59">
        <v>1</v>
      </c>
      <c r="P59">
        <v>43105.000099999997</v>
      </c>
      <c r="Q59">
        <v>43105.000319999999</v>
      </c>
      <c r="S59">
        <v>1</v>
      </c>
      <c r="T59">
        <v>1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0.14469399999999999</v>
      </c>
      <c r="AC59">
        <v>0.58338400000000001</v>
      </c>
      <c r="AE59">
        <v>1</v>
      </c>
      <c r="AF59">
        <v>80</v>
      </c>
      <c r="AH59">
        <v>0</v>
      </c>
      <c r="AJ59">
        <v>56</v>
      </c>
      <c r="AL59">
        <v>0</v>
      </c>
      <c r="AN59">
        <v>80</v>
      </c>
      <c r="AO59">
        <v>0</v>
      </c>
      <c r="AP59">
        <v>56</v>
      </c>
      <c r="AQ59">
        <v>0</v>
      </c>
      <c r="AR59">
        <v>3.1E-2</v>
      </c>
      <c r="AS59">
        <v>1</v>
      </c>
      <c r="AU59">
        <v>3.1E-2</v>
      </c>
    </row>
    <row r="60" spans="1:48" x14ac:dyDescent="0.3">
      <c r="A60" t="s">
        <v>94</v>
      </c>
      <c r="B60">
        <v>3200.0002439999998</v>
      </c>
      <c r="C60">
        <v>1.6525999999999999E-2</v>
      </c>
      <c r="D60">
        <v>451</v>
      </c>
      <c r="E60">
        <v>1995</v>
      </c>
      <c r="F60">
        <v>0</v>
      </c>
      <c r="G60">
        <v>0</v>
      </c>
      <c r="H60">
        <v>53201.000240000001</v>
      </c>
      <c r="I60">
        <v>3200.0002439999998</v>
      </c>
      <c r="J60">
        <v>50001</v>
      </c>
      <c r="K60">
        <v>3200.0002439999998</v>
      </c>
      <c r="L60">
        <v>14.540667000000003</v>
      </c>
      <c r="N60">
        <v>1</v>
      </c>
      <c r="P60">
        <v>53201.000240000001</v>
      </c>
      <c r="Q60">
        <v>53201.000240000001</v>
      </c>
      <c r="S60">
        <v>1</v>
      </c>
      <c r="T60">
        <v>1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8.3950840000000007</v>
      </c>
      <c r="AC60">
        <v>6.1290570000000004</v>
      </c>
      <c r="AE60">
        <v>1</v>
      </c>
      <c r="AF60">
        <v>2384</v>
      </c>
      <c r="AH60">
        <v>2</v>
      </c>
      <c r="AJ60">
        <v>303</v>
      </c>
      <c r="AL60">
        <v>48</v>
      </c>
      <c r="AN60">
        <v>2384</v>
      </c>
      <c r="AO60">
        <v>2</v>
      </c>
      <c r="AP60">
        <v>303</v>
      </c>
      <c r="AQ60">
        <v>48</v>
      </c>
      <c r="AR60">
        <v>2.8479999999999999</v>
      </c>
      <c r="AS60">
        <v>50</v>
      </c>
      <c r="AU60">
        <v>5.6959999999999997E-2</v>
      </c>
    </row>
    <row r="61" spans="1:48" s="1" customFormat="1" x14ac:dyDescent="0.3">
      <c r="A61" s="1" t="s">
        <v>95</v>
      </c>
      <c r="B61" s="1">
        <v>3039.9998719999999</v>
      </c>
      <c r="C61" s="1">
        <v>1.9619000000000001E-2</v>
      </c>
      <c r="D61" s="1">
        <v>541</v>
      </c>
      <c r="E61" s="1">
        <v>2886</v>
      </c>
      <c r="F61" s="1">
        <v>0</v>
      </c>
      <c r="G61" s="1">
        <v>0</v>
      </c>
      <c r="H61" s="1">
        <v>43041.99987</v>
      </c>
      <c r="I61" s="1">
        <v>3039.9998559999999</v>
      </c>
      <c r="J61" s="1">
        <v>40002</v>
      </c>
      <c r="K61" s="1">
        <v>3039.9998719999999</v>
      </c>
      <c r="L61" s="1">
        <v>7.6415620000000004</v>
      </c>
      <c r="N61" s="1">
        <v>1</v>
      </c>
      <c r="P61" s="1">
        <v>43041.999860000004</v>
      </c>
      <c r="Q61" s="1">
        <v>43041.99987</v>
      </c>
      <c r="S61" s="1">
        <v>1</v>
      </c>
      <c r="T61" s="1">
        <v>1</v>
      </c>
      <c r="U61" s="1">
        <v>1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5.1413140000000004</v>
      </c>
      <c r="AC61" s="1">
        <v>2.480629</v>
      </c>
      <c r="AE61" s="1">
        <v>1</v>
      </c>
      <c r="AF61" s="1">
        <v>399</v>
      </c>
      <c r="AH61" s="1">
        <v>9</v>
      </c>
      <c r="AJ61" s="1">
        <v>246</v>
      </c>
      <c r="AL61" s="1">
        <v>19</v>
      </c>
      <c r="AN61" s="1">
        <v>399</v>
      </c>
      <c r="AO61" s="1">
        <v>9</v>
      </c>
      <c r="AP61" s="1">
        <v>246</v>
      </c>
      <c r="AQ61" s="1">
        <v>19</v>
      </c>
      <c r="AR61" s="1">
        <v>1.2490000000000001</v>
      </c>
      <c r="AS61" s="1">
        <v>21</v>
      </c>
      <c r="AU61" s="1">
        <v>5.9476000000000001E-2</v>
      </c>
    </row>
    <row r="62" spans="1:48" x14ac:dyDescent="0.3">
      <c r="A62" t="s">
        <v>96</v>
      </c>
      <c r="B62">
        <v>4719.9995220000001</v>
      </c>
      <c r="C62">
        <v>2.6603999999999999E-2</v>
      </c>
      <c r="D62">
        <v>701</v>
      </c>
      <c r="E62">
        <v>3155</v>
      </c>
      <c r="F62">
        <v>1E-3</v>
      </c>
      <c r="G62">
        <v>0</v>
      </c>
      <c r="H62">
        <v>64723.999519999998</v>
      </c>
      <c r="I62">
        <v>4719.999331</v>
      </c>
      <c r="J62">
        <v>60004</v>
      </c>
      <c r="K62">
        <v>4719.9995220000001</v>
      </c>
      <c r="L62">
        <v>2.0975410000000001</v>
      </c>
      <c r="M62">
        <v>33.498672214285712</v>
      </c>
      <c r="N62">
        <v>1</v>
      </c>
      <c r="O62">
        <f>AVERAGE(N62:N89)</f>
        <v>1</v>
      </c>
      <c r="P62">
        <v>64723.999329999999</v>
      </c>
      <c r="Q62">
        <v>64723.999519999998</v>
      </c>
      <c r="R62">
        <f>SUM(S62:S89)</f>
        <v>28</v>
      </c>
      <c r="S62">
        <v>1</v>
      </c>
      <c r="T62">
        <v>1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0.83577000000000001</v>
      </c>
      <c r="AB62">
        <v>28.200733392857142</v>
      </c>
      <c r="AC62">
        <v>1.234167</v>
      </c>
      <c r="AD62">
        <v>5.2694303214285716</v>
      </c>
      <c r="AE62">
        <v>1</v>
      </c>
      <c r="AF62">
        <v>96</v>
      </c>
      <c r="AG62">
        <f>AVERAGE(AF62:AF89)</f>
        <v>784.42857142857144</v>
      </c>
      <c r="AH62">
        <v>2</v>
      </c>
      <c r="AI62">
        <f>AVERAGE(AH62:AH89)</f>
        <v>2.9642857142857144</v>
      </c>
      <c r="AJ62">
        <v>25</v>
      </c>
      <c r="AK62">
        <f>AVERAGE(AJ62:AJ89)</f>
        <v>108.39285714285714</v>
      </c>
      <c r="AL62">
        <v>0</v>
      </c>
      <c r="AM62">
        <f>AVERAGE(AL62:AL89)</f>
        <v>5.9642857142857144</v>
      </c>
      <c r="AN62">
        <v>96</v>
      </c>
      <c r="AO62">
        <v>2</v>
      </c>
      <c r="AP62">
        <v>25</v>
      </c>
      <c r="AQ62">
        <v>0</v>
      </c>
      <c r="AR62">
        <v>0.107</v>
      </c>
      <c r="AS62">
        <v>1</v>
      </c>
      <c r="AT62">
        <f>AVERAGE(AS62:AS89)</f>
        <v>7.1785714285714288</v>
      </c>
      <c r="AU62">
        <v>0.107</v>
      </c>
      <c r="AV62">
        <f>AVERAGE(AU62:AU89)</f>
        <v>0.16984199999999997</v>
      </c>
    </row>
    <row r="63" spans="1:48" x14ac:dyDescent="0.3">
      <c r="A63" t="s">
        <v>97</v>
      </c>
      <c r="B63">
        <v>4576.6661260000001</v>
      </c>
      <c r="C63">
        <v>2.4445000000000001E-2</v>
      </c>
      <c r="D63">
        <v>701</v>
      </c>
      <c r="E63">
        <v>3155</v>
      </c>
      <c r="F63">
        <v>1E-3</v>
      </c>
      <c r="G63">
        <v>0</v>
      </c>
      <c r="H63">
        <v>64579.666129999998</v>
      </c>
      <c r="I63">
        <v>4576.6661260000001</v>
      </c>
      <c r="J63">
        <v>60003</v>
      </c>
      <c r="K63">
        <v>4576.6661260000001</v>
      </c>
      <c r="L63">
        <v>6.2977609999999995</v>
      </c>
      <c r="N63">
        <v>1</v>
      </c>
      <c r="P63">
        <v>64579.666129999998</v>
      </c>
      <c r="Q63">
        <v>64579.666129999998</v>
      </c>
      <c r="S63">
        <v>1</v>
      </c>
      <c r="T63">
        <v>1</v>
      </c>
      <c r="U63">
        <v>1</v>
      </c>
      <c r="V63">
        <v>0</v>
      </c>
      <c r="W63">
        <v>0</v>
      </c>
      <c r="X63">
        <v>0</v>
      </c>
      <c r="Y63">
        <v>0</v>
      </c>
      <c r="Z63">
        <v>0</v>
      </c>
      <c r="AA63">
        <v>1.5148950000000001</v>
      </c>
      <c r="AC63">
        <v>4.7574209999999999</v>
      </c>
      <c r="AE63">
        <v>1</v>
      </c>
      <c r="AF63">
        <v>305</v>
      </c>
      <c r="AH63">
        <v>2</v>
      </c>
      <c r="AJ63">
        <v>163</v>
      </c>
      <c r="AL63">
        <v>17</v>
      </c>
      <c r="AN63">
        <v>305</v>
      </c>
      <c r="AO63">
        <v>2</v>
      </c>
      <c r="AP63">
        <v>163</v>
      </c>
      <c r="AQ63">
        <v>17</v>
      </c>
      <c r="AR63">
        <v>2.6429999999999998</v>
      </c>
      <c r="AS63">
        <v>18</v>
      </c>
      <c r="AU63">
        <v>0.14683299999999999</v>
      </c>
    </row>
    <row r="64" spans="1:48" x14ac:dyDescent="0.3">
      <c r="A64" t="s">
        <v>98</v>
      </c>
      <c r="B64">
        <v>4610.000223</v>
      </c>
      <c r="C64">
        <v>2.8944999999999999E-2</v>
      </c>
      <c r="D64">
        <v>841</v>
      </c>
      <c r="E64">
        <v>4566</v>
      </c>
      <c r="F64">
        <v>1E-3</v>
      </c>
      <c r="G64">
        <v>0</v>
      </c>
      <c r="H64">
        <v>64611.000160000003</v>
      </c>
      <c r="I64">
        <v>4610.0003180000003</v>
      </c>
      <c r="J64">
        <v>60000.999940000002</v>
      </c>
      <c r="K64">
        <v>4610.000223</v>
      </c>
      <c r="L64">
        <v>4.4004820000000002</v>
      </c>
      <c r="N64">
        <v>1</v>
      </c>
      <c r="P64">
        <v>64611.000260000001</v>
      </c>
      <c r="Q64">
        <v>64611.000160000003</v>
      </c>
      <c r="S64">
        <v>1</v>
      </c>
      <c r="T64">
        <v>1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2.3781530000000002</v>
      </c>
      <c r="AC64">
        <v>1.9923839999999999</v>
      </c>
      <c r="AE64">
        <v>1</v>
      </c>
      <c r="AF64">
        <v>112</v>
      </c>
      <c r="AH64">
        <v>7</v>
      </c>
      <c r="AJ64">
        <v>52</v>
      </c>
      <c r="AL64">
        <v>0</v>
      </c>
      <c r="AN64">
        <v>112</v>
      </c>
      <c r="AO64">
        <v>7</v>
      </c>
      <c r="AP64">
        <v>52</v>
      </c>
      <c r="AQ64">
        <v>0</v>
      </c>
      <c r="AR64">
        <v>0.106</v>
      </c>
      <c r="AS64">
        <v>1</v>
      </c>
      <c r="AU64">
        <v>0.106</v>
      </c>
    </row>
    <row r="65" spans="1:47" x14ac:dyDescent="0.3">
      <c r="A65" t="s">
        <v>99</v>
      </c>
      <c r="B65">
        <v>4546.6665860000003</v>
      </c>
      <c r="C65">
        <v>2.5361000000000002E-2</v>
      </c>
      <c r="D65">
        <v>841</v>
      </c>
      <c r="E65">
        <v>4566</v>
      </c>
      <c r="F65">
        <v>1E-3</v>
      </c>
      <c r="G65">
        <v>0</v>
      </c>
      <c r="H65">
        <v>64548.666590000001</v>
      </c>
      <c r="I65">
        <v>4546.6665860000003</v>
      </c>
      <c r="J65">
        <v>60002</v>
      </c>
      <c r="K65">
        <v>4546.6665860000003</v>
      </c>
      <c r="L65">
        <v>18.281679999999998</v>
      </c>
      <c r="N65">
        <v>1</v>
      </c>
      <c r="P65">
        <v>64548.666590000001</v>
      </c>
      <c r="Q65">
        <v>64548.666590000001</v>
      </c>
      <c r="S65">
        <v>1</v>
      </c>
      <c r="T65">
        <v>1</v>
      </c>
      <c r="U65">
        <v>1</v>
      </c>
      <c r="V65">
        <v>0</v>
      </c>
      <c r="W65">
        <v>0</v>
      </c>
      <c r="X65">
        <v>0</v>
      </c>
      <c r="Y65">
        <v>0</v>
      </c>
      <c r="Z65">
        <v>0</v>
      </c>
      <c r="AA65">
        <v>13.982021</v>
      </c>
      <c r="AC65">
        <v>4.2732979999999996</v>
      </c>
      <c r="AE65">
        <v>1</v>
      </c>
      <c r="AF65">
        <v>946</v>
      </c>
      <c r="AH65">
        <v>2</v>
      </c>
      <c r="AJ65">
        <v>22</v>
      </c>
      <c r="AL65">
        <v>0</v>
      </c>
      <c r="AN65">
        <v>946</v>
      </c>
      <c r="AO65">
        <v>2</v>
      </c>
      <c r="AP65">
        <v>22</v>
      </c>
      <c r="AQ65">
        <v>0</v>
      </c>
      <c r="AR65">
        <v>0.33300000000000002</v>
      </c>
      <c r="AS65">
        <v>2</v>
      </c>
      <c r="AU65">
        <v>0.16650000000000001</v>
      </c>
    </row>
    <row r="66" spans="1:47" x14ac:dyDescent="0.3">
      <c r="A66" t="s">
        <v>100</v>
      </c>
      <c r="B66">
        <v>4573.3333709999997</v>
      </c>
      <c r="C66">
        <v>2.3798E-2</v>
      </c>
      <c r="D66">
        <v>841</v>
      </c>
      <c r="E66">
        <v>4566</v>
      </c>
      <c r="F66">
        <v>1E-3</v>
      </c>
      <c r="G66">
        <v>0</v>
      </c>
      <c r="H66">
        <v>64575.33337</v>
      </c>
      <c r="I66">
        <v>4573.3333709999997</v>
      </c>
      <c r="J66">
        <v>60002</v>
      </c>
      <c r="K66">
        <v>4573.3333709999997</v>
      </c>
      <c r="L66">
        <v>17.182627</v>
      </c>
      <c r="N66">
        <v>1</v>
      </c>
      <c r="P66">
        <v>64575.33337</v>
      </c>
      <c r="Q66">
        <v>64575.33337</v>
      </c>
      <c r="S66">
        <v>1</v>
      </c>
      <c r="T66">
        <v>1</v>
      </c>
      <c r="U66">
        <v>1</v>
      </c>
      <c r="V66">
        <v>0</v>
      </c>
      <c r="W66">
        <v>0</v>
      </c>
      <c r="X66">
        <v>0</v>
      </c>
      <c r="Y66">
        <v>0</v>
      </c>
      <c r="Z66">
        <v>0</v>
      </c>
      <c r="AA66">
        <v>12.206270999999999</v>
      </c>
      <c r="AC66">
        <v>4.9515580000000003</v>
      </c>
      <c r="AE66">
        <v>1</v>
      </c>
      <c r="AF66">
        <v>405</v>
      </c>
      <c r="AH66">
        <v>0</v>
      </c>
      <c r="AJ66">
        <v>9</v>
      </c>
      <c r="AL66">
        <v>3</v>
      </c>
      <c r="AN66">
        <v>405</v>
      </c>
      <c r="AO66">
        <v>0</v>
      </c>
      <c r="AP66">
        <v>9</v>
      </c>
      <c r="AQ66">
        <v>3</v>
      </c>
      <c r="AR66">
        <v>1.2230000000000001</v>
      </c>
      <c r="AS66">
        <v>4</v>
      </c>
      <c r="AU66">
        <v>0.30575000000000002</v>
      </c>
    </row>
    <row r="67" spans="1:47" x14ac:dyDescent="0.3">
      <c r="A67" t="s">
        <v>101</v>
      </c>
      <c r="B67">
        <v>4506.6667260000004</v>
      </c>
      <c r="C67">
        <v>5.0608E-2</v>
      </c>
      <c r="D67">
        <v>841</v>
      </c>
      <c r="E67">
        <v>4566</v>
      </c>
      <c r="F67">
        <v>1E-3</v>
      </c>
      <c r="G67">
        <v>0</v>
      </c>
      <c r="H67">
        <v>64508.666729999997</v>
      </c>
      <c r="I67">
        <v>4506.6667260000004</v>
      </c>
      <c r="J67">
        <v>60002</v>
      </c>
      <c r="K67">
        <v>4506.6667260000004</v>
      </c>
      <c r="L67">
        <v>28.883524000000001</v>
      </c>
      <c r="N67">
        <v>1</v>
      </c>
      <c r="P67">
        <v>64508.666729999997</v>
      </c>
      <c r="Q67">
        <v>64508.666729999997</v>
      </c>
      <c r="S67">
        <v>1</v>
      </c>
      <c r="T67">
        <v>1</v>
      </c>
      <c r="U67">
        <v>1</v>
      </c>
      <c r="V67">
        <v>0</v>
      </c>
      <c r="W67">
        <v>0</v>
      </c>
      <c r="X67">
        <v>0</v>
      </c>
      <c r="Y67">
        <v>0</v>
      </c>
      <c r="Z67">
        <v>0</v>
      </c>
      <c r="AA67">
        <v>27.037721000000001</v>
      </c>
      <c r="AC67">
        <v>1.794195</v>
      </c>
      <c r="AE67">
        <v>1</v>
      </c>
      <c r="AF67">
        <v>171</v>
      </c>
      <c r="AH67">
        <v>0</v>
      </c>
      <c r="AJ67">
        <v>13</v>
      </c>
      <c r="AL67">
        <v>0</v>
      </c>
      <c r="AN67">
        <v>171</v>
      </c>
      <c r="AO67">
        <v>0</v>
      </c>
      <c r="AP67">
        <v>13</v>
      </c>
      <c r="AQ67">
        <v>0</v>
      </c>
      <c r="AR67">
        <v>0.108</v>
      </c>
      <c r="AS67">
        <v>1</v>
      </c>
      <c r="AU67">
        <v>0.108</v>
      </c>
    </row>
    <row r="68" spans="1:47" x14ac:dyDescent="0.3">
      <c r="A68" t="s">
        <v>102</v>
      </c>
      <c r="B68">
        <v>4799.9997080000003</v>
      </c>
      <c r="C68">
        <v>2.5205999999999999E-2</v>
      </c>
      <c r="D68">
        <v>841</v>
      </c>
      <c r="E68">
        <v>4566</v>
      </c>
      <c r="F68">
        <v>1E-3</v>
      </c>
      <c r="G68">
        <v>0</v>
      </c>
      <c r="H68">
        <v>64800.999709999996</v>
      </c>
      <c r="I68">
        <v>4799.9996819999997</v>
      </c>
      <c r="J68">
        <v>60001</v>
      </c>
      <c r="K68">
        <v>4799.9997080000003</v>
      </c>
      <c r="L68">
        <v>26.159458000000001</v>
      </c>
      <c r="N68">
        <v>1</v>
      </c>
      <c r="P68">
        <v>64800.999680000001</v>
      </c>
      <c r="Q68">
        <v>64800.999709999996</v>
      </c>
      <c r="S68">
        <v>1</v>
      </c>
      <c r="T68">
        <v>1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14.742713999999999</v>
      </c>
      <c r="AC68">
        <v>11.390537999999999</v>
      </c>
      <c r="AE68">
        <v>1</v>
      </c>
      <c r="AF68">
        <v>1315</v>
      </c>
      <c r="AH68">
        <v>4</v>
      </c>
      <c r="AJ68">
        <v>130</v>
      </c>
      <c r="AL68">
        <v>64</v>
      </c>
      <c r="AN68">
        <v>1315</v>
      </c>
      <c r="AO68">
        <v>4</v>
      </c>
      <c r="AP68">
        <v>130</v>
      </c>
      <c r="AQ68">
        <v>64</v>
      </c>
      <c r="AR68">
        <v>7.3280000000000003</v>
      </c>
      <c r="AS68">
        <v>65</v>
      </c>
      <c r="AU68">
        <v>0.112738</v>
      </c>
    </row>
    <row r="69" spans="1:47" x14ac:dyDescent="0.3">
      <c r="A69" t="s">
        <v>103</v>
      </c>
      <c r="B69">
        <v>4453.3329009999998</v>
      </c>
      <c r="C69">
        <v>2.0740000000000001E-2</v>
      </c>
      <c r="D69">
        <v>841</v>
      </c>
      <c r="E69">
        <v>4566</v>
      </c>
      <c r="F69">
        <v>1E-3</v>
      </c>
      <c r="G69">
        <v>0</v>
      </c>
      <c r="H69">
        <v>64454.332900000001</v>
      </c>
      <c r="I69">
        <v>4453.3331870000002</v>
      </c>
      <c r="J69">
        <v>60001</v>
      </c>
      <c r="K69">
        <v>4453.3329009999998</v>
      </c>
      <c r="L69">
        <v>39.492441999999997</v>
      </c>
      <c r="N69">
        <v>1</v>
      </c>
      <c r="P69">
        <v>64454.333189999998</v>
      </c>
      <c r="Q69">
        <v>64454.332900000001</v>
      </c>
      <c r="S69">
        <v>1</v>
      </c>
      <c r="T69">
        <v>1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26.542428999999998</v>
      </c>
      <c r="AC69">
        <v>12.928273000000001</v>
      </c>
      <c r="AE69">
        <v>1</v>
      </c>
      <c r="AF69">
        <v>939</v>
      </c>
      <c r="AH69">
        <v>4</v>
      </c>
      <c r="AJ69">
        <v>141</v>
      </c>
      <c r="AL69">
        <v>8</v>
      </c>
      <c r="AN69">
        <v>939</v>
      </c>
      <c r="AO69">
        <v>4</v>
      </c>
      <c r="AP69">
        <v>141</v>
      </c>
      <c r="AQ69">
        <v>8</v>
      </c>
      <c r="AR69">
        <v>1.899</v>
      </c>
      <c r="AS69">
        <v>9</v>
      </c>
      <c r="AU69">
        <v>0.21099999999999999</v>
      </c>
    </row>
    <row r="70" spans="1:47" x14ac:dyDescent="0.3">
      <c r="A70" t="s">
        <v>104</v>
      </c>
      <c r="B70">
        <v>4453.3329009999998</v>
      </c>
      <c r="C70">
        <v>2.0133999999999999E-2</v>
      </c>
      <c r="D70">
        <v>701</v>
      </c>
      <c r="E70">
        <v>3155</v>
      </c>
      <c r="F70">
        <v>1E-3</v>
      </c>
      <c r="G70">
        <v>0</v>
      </c>
      <c r="H70">
        <v>64454.332900000001</v>
      </c>
      <c r="I70">
        <v>4453.3330230000001</v>
      </c>
      <c r="J70">
        <v>60001</v>
      </c>
      <c r="K70">
        <v>4453.3329009999998</v>
      </c>
      <c r="L70">
        <v>2.7765530000000003</v>
      </c>
      <c r="N70">
        <v>1</v>
      </c>
      <c r="P70">
        <v>64454.333019999998</v>
      </c>
      <c r="Q70">
        <v>64454.332900000001</v>
      </c>
      <c r="S70">
        <v>1</v>
      </c>
      <c r="T70">
        <v>1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0.69550699999999999</v>
      </c>
      <c r="AC70">
        <v>2.0599120000000002</v>
      </c>
      <c r="AE70">
        <v>1</v>
      </c>
      <c r="AF70">
        <v>93</v>
      </c>
      <c r="AH70">
        <v>0</v>
      </c>
      <c r="AJ70">
        <v>3</v>
      </c>
      <c r="AL70">
        <v>1</v>
      </c>
      <c r="AN70">
        <v>93</v>
      </c>
      <c r="AO70">
        <v>0</v>
      </c>
      <c r="AP70">
        <v>3</v>
      </c>
      <c r="AQ70">
        <v>1</v>
      </c>
      <c r="AR70">
        <v>0.38100000000000001</v>
      </c>
      <c r="AS70">
        <v>2</v>
      </c>
      <c r="AU70">
        <v>0.1905</v>
      </c>
    </row>
    <row r="71" spans="1:47" x14ac:dyDescent="0.3">
      <c r="A71" t="s">
        <v>105</v>
      </c>
      <c r="B71">
        <v>4410.0003109999998</v>
      </c>
      <c r="C71">
        <v>4.8044000000000003E-2</v>
      </c>
      <c r="D71">
        <v>701</v>
      </c>
      <c r="E71">
        <v>3155</v>
      </c>
      <c r="F71">
        <v>1E-3</v>
      </c>
      <c r="G71">
        <v>0</v>
      </c>
      <c r="H71">
        <v>64415.000310000003</v>
      </c>
      <c r="I71">
        <v>4410.0003109999998</v>
      </c>
      <c r="J71">
        <v>60005</v>
      </c>
      <c r="K71">
        <v>4410.0003109999998</v>
      </c>
      <c r="L71">
        <v>2.897929</v>
      </c>
      <c r="N71">
        <v>1</v>
      </c>
      <c r="P71">
        <v>64415.000310000003</v>
      </c>
      <c r="Q71">
        <v>64415.000310000003</v>
      </c>
      <c r="S71">
        <v>1</v>
      </c>
      <c r="T71">
        <v>1</v>
      </c>
      <c r="U71">
        <v>1</v>
      </c>
      <c r="V71">
        <v>0</v>
      </c>
      <c r="W71">
        <v>0</v>
      </c>
      <c r="X71">
        <v>0</v>
      </c>
      <c r="Y71">
        <v>0</v>
      </c>
      <c r="Z71">
        <v>0</v>
      </c>
      <c r="AA71">
        <v>0.36903399999999997</v>
      </c>
      <c r="AC71">
        <v>2.479851</v>
      </c>
      <c r="AE71">
        <v>1</v>
      </c>
      <c r="AF71">
        <v>140</v>
      </c>
      <c r="AH71">
        <v>1</v>
      </c>
      <c r="AJ71">
        <v>63</v>
      </c>
      <c r="AL71">
        <v>1</v>
      </c>
      <c r="AN71">
        <v>140</v>
      </c>
      <c r="AO71">
        <v>1</v>
      </c>
      <c r="AP71">
        <v>63</v>
      </c>
      <c r="AQ71">
        <v>1</v>
      </c>
      <c r="AR71">
        <v>0.26300000000000001</v>
      </c>
      <c r="AS71">
        <v>2</v>
      </c>
      <c r="AU71">
        <v>0.13150000000000001</v>
      </c>
    </row>
    <row r="72" spans="1:47" x14ac:dyDescent="0.3">
      <c r="A72" t="s">
        <v>106</v>
      </c>
      <c r="B72">
        <v>4439.999965</v>
      </c>
      <c r="C72">
        <v>2.2807000000000001E-2</v>
      </c>
      <c r="D72">
        <v>701</v>
      </c>
      <c r="E72">
        <v>3155</v>
      </c>
      <c r="F72">
        <v>0</v>
      </c>
      <c r="G72">
        <v>0</v>
      </c>
      <c r="H72">
        <v>64441.999969999997</v>
      </c>
      <c r="I72">
        <v>4439.999965</v>
      </c>
      <c r="J72">
        <v>60002</v>
      </c>
      <c r="K72">
        <v>4439.999965</v>
      </c>
      <c r="L72">
        <v>6.0844940000000003</v>
      </c>
      <c r="N72">
        <v>1</v>
      </c>
      <c r="P72">
        <v>64441.999969999997</v>
      </c>
      <c r="Q72">
        <v>64441.999969999997</v>
      </c>
      <c r="S72">
        <v>1</v>
      </c>
      <c r="T72">
        <v>1</v>
      </c>
      <c r="U72">
        <v>1</v>
      </c>
      <c r="V72">
        <v>0</v>
      </c>
      <c r="W72">
        <v>0</v>
      </c>
      <c r="X72">
        <v>0</v>
      </c>
      <c r="Y72">
        <v>0</v>
      </c>
      <c r="Z72">
        <v>0</v>
      </c>
      <c r="AA72">
        <v>0.74811099999999997</v>
      </c>
      <c r="AC72">
        <v>5.3135760000000003</v>
      </c>
      <c r="AE72">
        <v>1</v>
      </c>
      <c r="AF72">
        <v>431</v>
      </c>
      <c r="AH72">
        <v>4</v>
      </c>
      <c r="AJ72">
        <v>187</v>
      </c>
      <c r="AL72">
        <v>22</v>
      </c>
      <c r="AN72">
        <v>431</v>
      </c>
      <c r="AO72">
        <v>4</v>
      </c>
      <c r="AP72">
        <v>187</v>
      </c>
      <c r="AQ72">
        <v>22</v>
      </c>
      <c r="AR72">
        <v>2.657</v>
      </c>
      <c r="AS72">
        <v>23</v>
      </c>
      <c r="AU72">
        <v>0.115522</v>
      </c>
    </row>
    <row r="73" spans="1:47" x14ac:dyDescent="0.3">
      <c r="A73" t="s">
        <v>107</v>
      </c>
      <c r="B73">
        <v>4719.9995220000001</v>
      </c>
      <c r="C73">
        <v>2.4795000000000001E-2</v>
      </c>
      <c r="D73">
        <v>841</v>
      </c>
      <c r="E73">
        <v>4566</v>
      </c>
      <c r="F73">
        <v>1E-3</v>
      </c>
      <c r="G73">
        <v>0</v>
      </c>
      <c r="H73">
        <v>64723.999519999998</v>
      </c>
      <c r="I73">
        <v>4719.999331</v>
      </c>
      <c r="J73">
        <v>60004</v>
      </c>
      <c r="K73">
        <v>4719.9995220000001</v>
      </c>
      <c r="L73">
        <v>10.353527</v>
      </c>
      <c r="N73">
        <v>1</v>
      </c>
      <c r="P73">
        <v>64723.999329999999</v>
      </c>
      <c r="Q73">
        <v>64723.999519999998</v>
      </c>
      <c r="S73">
        <v>1</v>
      </c>
      <c r="T73">
        <v>1</v>
      </c>
      <c r="U73">
        <v>1</v>
      </c>
      <c r="V73">
        <v>0</v>
      </c>
      <c r="W73">
        <v>0</v>
      </c>
      <c r="X73">
        <v>0</v>
      </c>
      <c r="Y73">
        <v>0</v>
      </c>
      <c r="Z73">
        <v>0</v>
      </c>
      <c r="AA73">
        <v>0.33631699999999998</v>
      </c>
      <c r="AC73">
        <v>9.9914149999999999</v>
      </c>
      <c r="AE73">
        <v>1</v>
      </c>
      <c r="AF73">
        <v>3968</v>
      </c>
      <c r="AH73">
        <v>3</v>
      </c>
      <c r="AJ73">
        <v>151</v>
      </c>
      <c r="AL73">
        <v>0</v>
      </c>
      <c r="AN73">
        <v>3968</v>
      </c>
      <c r="AO73">
        <v>3</v>
      </c>
      <c r="AP73">
        <v>151</v>
      </c>
      <c r="AQ73">
        <v>0</v>
      </c>
      <c r="AR73">
        <v>0.13700000000000001</v>
      </c>
      <c r="AS73">
        <v>1</v>
      </c>
      <c r="AU73">
        <v>0.13700000000000001</v>
      </c>
    </row>
    <row r="74" spans="1:47" x14ac:dyDescent="0.3">
      <c r="A74" t="s">
        <v>108</v>
      </c>
      <c r="B74">
        <v>4603.3325580000001</v>
      </c>
      <c r="C74">
        <v>3.1625E-2</v>
      </c>
      <c r="D74">
        <v>841</v>
      </c>
      <c r="E74">
        <v>4566</v>
      </c>
      <c r="F74">
        <v>1E-3</v>
      </c>
      <c r="G74">
        <v>0</v>
      </c>
      <c r="H74">
        <v>64604.332560000003</v>
      </c>
      <c r="I74">
        <v>4603.3325580000001</v>
      </c>
      <c r="J74">
        <v>60001</v>
      </c>
      <c r="K74">
        <v>4603.3325580000001</v>
      </c>
      <c r="L74">
        <v>10.562681000000001</v>
      </c>
      <c r="N74">
        <v>1</v>
      </c>
      <c r="P74">
        <v>64604.332560000003</v>
      </c>
      <c r="Q74">
        <v>64604.332560000003</v>
      </c>
      <c r="S74">
        <v>1</v>
      </c>
      <c r="T74">
        <v>1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6.8289600000000004</v>
      </c>
      <c r="AC74">
        <v>3.7010960000000002</v>
      </c>
      <c r="AE74">
        <v>1</v>
      </c>
      <c r="AF74">
        <v>395</v>
      </c>
      <c r="AH74">
        <v>0</v>
      </c>
      <c r="AJ74">
        <v>1</v>
      </c>
      <c r="AL74">
        <v>0</v>
      </c>
      <c r="AN74">
        <v>395</v>
      </c>
      <c r="AO74">
        <v>0</v>
      </c>
      <c r="AP74">
        <v>1</v>
      </c>
      <c r="AQ74">
        <v>0</v>
      </c>
      <c r="AR74">
        <v>0.109</v>
      </c>
      <c r="AS74">
        <v>1</v>
      </c>
      <c r="AU74">
        <v>0.109</v>
      </c>
    </row>
    <row r="75" spans="1:47" x14ac:dyDescent="0.3">
      <c r="A75" t="s">
        <v>109</v>
      </c>
      <c r="B75">
        <v>4373.3333169999996</v>
      </c>
      <c r="C75">
        <v>1.8822999999999999E-2</v>
      </c>
      <c r="D75">
        <v>841</v>
      </c>
      <c r="E75">
        <v>4566</v>
      </c>
      <c r="F75">
        <v>1E-3</v>
      </c>
      <c r="G75">
        <v>0</v>
      </c>
      <c r="H75">
        <v>64374.333319999998</v>
      </c>
      <c r="I75">
        <v>4373.3328579999998</v>
      </c>
      <c r="J75">
        <v>60001</v>
      </c>
      <c r="K75">
        <v>4373.3333169999996</v>
      </c>
      <c r="L75">
        <v>19.866333999999998</v>
      </c>
      <c r="N75">
        <v>1</v>
      </c>
      <c r="P75">
        <v>64374.332860000002</v>
      </c>
      <c r="Q75">
        <v>64374.333319999998</v>
      </c>
      <c r="S75">
        <v>1</v>
      </c>
      <c r="T75">
        <v>1</v>
      </c>
      <c r="U75">
        <v>1</v>
      </c>
      <c r="V75">
        <v>0</v>
      </c>
      <c r="W75">
        <v>0</v>
      </c>
      <c r="X75">
        <v>0</v>
      </c>
      <c r="Y75">
        <v>0</v>
      </c>
      <c r="Z75">
        <v>0</v>
      </c>
      <c r="AA75">
        <v>16.513029</v>
      </c>
      <c r="AC75">
        <v>3.3334820000000001</v>
      </c>
      <c r="AE75">
        <v>1</v>
      </c>
      <c r="AF75">
        <v>49</v>
      </c>
      <c r="AH75">
        <v>2</v>
      </c>
      <c r="AJ75">
        <v>150</v>
      </c>
      <c r="AL75">
        <v>0</v>
      </c>
      <c r="AN75">
        <v>49</v>
      </c>
      <c r="AO75">
        <v>2</v>
      </c>
      <c r="AP75">
        <v>150</v>
      </c>
      <c r="AQ75">
        <v>0</v>
      </c>
      <c r="AR75">
        <v>0.14399999999999999</v>
      </c>
      <c r="AS75">
        <v>1</v>
      </c>
      <c r="AU75">
        <v>0.14399999999999999</v>
      </c>
    </row>
    <row r="76" spans="1:47" x14ac:dyDescent="0.3">
      <c r="A76" t="s">
        <v>110</v>
      </c>
      <c r="B76">
        <v>4519.9996709999996</v>
      </c>
      <c r="C76">
        <v>2.6875E-2</v>
      </c>
      <c r="D76">
        <v>841</v>
      </c>
      <c r="E76">
        <v>4566</v>
      </c>
      <c r="F76">
        <v>1E-3</v>
      </c>
      <c r="G76">
        <v>0</v>
      </c>
      <c r="H76">
        <v>64521.999669999997</v>
      </c>
      <c r="I76">
        <v>4519.9993850000001</v>
      </c>
      <c r="J76">
        <v>60002</v>
      </c>
      <c r="K76">
        <v>4519.9996709999996</v>
      </c>
      <c r="L76">
        <v>19.827702000000002</v>
      </c>
      <c r="N76">
        <v>1</v>
      </c>
      <c r="P76">
        <v>64521.999389999997</v>
      </c>
      <c r="Q76">
        <v>64521.999669999997</v>
      </c>
      <c r="S76">
        <v>1</v>
      </c>
      <c r="T76">
        <v>1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9.9666639999999997</v>
      </c>
      <c r="AC76">
        <v>9.8331630000000008</v>
      </c>
      <c r="AE76">
        <v>1</v>
      </c>
      <c r="AF76">
        <v>713</v>
      </c>
      <c r="AH76">
        <v>4</v>
      </c>
      <c r="AJ76">
        <v>84</v>
      </c>
      <c r="AL76">
        <v>0</v>
      </c>
      <c r="AN76">
        <v>713</v>
      </c>
      <c r="AO76">
        <v>4</v>
      </c>
      <c r="AP76">
        <v>84</v>
      </c>
      <c r="AQ76">
        <v>0</v>
      </c>
      <c r="AR76">
        <v>0.435</v>
      </c>
      <c r="AS76">
        <v>2</v>
      </c>
      <c r="AU76">
        <v>0.2175</v>
      </c>
    </row>
    <row r="77" spans="1:47" x14ac:dyDescent="0.3">
      <c r="A77" t="s">
        <v>111</v>
      </c>
      <c r="B77">
        <v>4423.3330669999996</v>
      </c>
      <c r="C77">
        <v>2.5788999999999999E-2</v>
      </c>
      <c r="D77">
        <v>701</v>
      </c>
      <c r="E77">
        <v>3155</v>
      </c>
      <c r="F77">
        <v>1E-3</v>
      </c>
      <c r="G77">
        <v>0</v>
      </c>
      <c r="H77">
        <v>74425.333069999993</v>
      </c>
      <c r="I77">
        <v>4423.3330669999996</v>
      </c>
      <c r="J77">
        <v>70002</v>
      </c>
      <c r="K77">
        <v>4423.3330669999996</v>
      </c>
      <c r="L77">
        <v>200.263002</v>
      </c>
      <c r="N77">
        <v>1</v>
      </c>
      <c r="P77">
        <v>74425.333069999993</v>
      </c>
      <c r="Q77">
        <v>74425.333069999993</v>
      </c>
      <c r="S77">
        <v>1</v>
      </c>
      <c r="T77">
        <v>1</v>
      </c>
      <c r="U77">
        <v>1</v>
      </c>
      <c r="V77">
        <v>0</v>
      </c>
      <c r="W77">
        <v>0</v>
      </c>
      <c r="X77">
        <v>0</v>
      </c>
      <c r="Y77">
        <v>0</v>
      </c>
      <c r="Z77">
        <v>0</v>
      </c>
      <c r="AA77">
        <v>184.76880299999999</v>
      </c>
      <c r="AC77">
        <v>15.467409999999999</v>
      </c>
      <c r="AE77">
        <v>1</v>
      </c>
      <c r="AF77">
        <v>3657</v>
      </c>
      <c r="AH77">
        <v>4</v>
      </c>
      <c r="AJ77">
        <v>247</v>
      </c>
      <c r="AL77">
        <v>18</v>
      </c>
      <c r="AN77">
        <v>3657</v>
      </c>
      <c r="AO77">
        <v>4</v>
      </c>
      <c r="AP77">
        <v>247</v>
      </c>
      <c r="AQ77">
        <v>18</v>
      </c>
      <c r="AR77">
        <v>7.7409999999999997</v>
      </c>
      <c r="AS77">
        <v>19</v>
      </c>
      <c r="AU77">
        <v>0.40742099999999998</v>
      </c>
    </row>
    <row r="78" spans="1:47" x14ac:dyDescent="0.3">
      <c r="A78" t="s">
        <v>112</v>
      </c>
      <c r="B78">
        <v>4603.3328449999999</v>
      </c>
      <c r="C78">
        <v>2.7112000000000001E-2</v>
      </c>
      <c r="D78">
        <v>841</v>
      </c>
      <c r="E78">
        <v>4566</v>
      </c>
      <c r="F78">
        <v>1E-3</v>
      </c>
      <c r="G78">
        <v>0</v>
      </c>
      <c r="H78">
        <v>64607.332849999999</v>
      </c>
      <c r="I78">
        <v>4603.3330349999997</v>
      </c>
      <c r="J78">
        <v>60004</v>
      </c>
      <c r="K78">
        <v>4603.3328449999999</v>
      </c>
      <c r="L78">
        <v>3.9188869999999998</v>
      </c>
      <c r="N78">
        <v>1</v>
      </c>
      <c r="P78">
        <v>64607.333039999998</v>
      </c>
      <c r="Q78">
        <v>64607.332849999999</v>
      </c>
      <c r="S78">
        <v>1</v>
      </c>
      <c r="T78">
        <v>1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1.0990279999999999</v>
      </c>
      <c r="AC78">
        <v>2.791747</v>
      </c>
      <c r="AE78">
        <v>1</v>
      </c>
      <c r="AF78">
        <v>1506</v>
      </c>
      <c r="AH78">
        <v>2</v>
      </c>
      <c r="AJ78">
        <v>67</v>
      </c>
      <c r="AL78">
        <v>0</v>
      </c>
      <c r="AN78">
        <v>1506</v>
      </c>
      <c r="AO78">
        <v>2</v>
      </c>
      <c r="AP78">
        <v>67</v>
      </c>
      <c r="AQ78">
        <v>0</v>
      </c>
      <c r="AR78">
        <v>8.8999999999999996E-2</v>
      </c>
      <c r="AS78">
        <v>1</v>
      </c>
      <c r="AU78">
        <v>8.8999999999999996E-2</v>
      </c>
    </row>
    <row r="79" spans="1:47" x14ac:dyDescent="0.3">
      <c r="A79" t="s">
        <v>113</v>
      </c>
      <c r="B79">
        <v>4609.9999550000002</v>
      </c>
      <c r="C79">
        <v>2.0482E-2</v>
      </c>
      <c r="D79">
        <v>701</v>
      </c>
      <c r="E79">
        <v>3155</v>
      </c>
      <c r="F79">
        <v>1E-3</v>
      </c>
      <c r="G79">
        <v>0</v>
      </c>
      <c r="H79">
        <v>64611.999830000001</v>
      </c>
      <c r="I79">
        <v>4609.9999550000002</v>
      </c>
      <c r="J79">
        <v>60001.999880000003</v>
      </c>
      <c r="K79">
        <v>4609.9999550000002</v>
      </c>
      <c r="L79">
        <v>10.630061</v>
      </c>
      <c r="N79">
        <v>1</v>
      </c>
      <c r="P79">
        <v>64611.999830000001</v>
      </c>
      <c r="Q79">
        <v>64611.999830000001</v>
      </c>
      <c r="S79">
        <v>1</v>
      </c>
      <c r="T79">
        <v>1</v>
      </c>
      <c r="U79">
        <v>1</v>
      </c>
      <c r="V79">
        <v>0</v>
      </c>
      <c r="W79">
        <v>0</v>
      </c>
      <c r="X79">
        <v>0</v>
      </c>
      <c r="Y79">
        <v>0</v>
      </c>
      <c r="Z79">
        <v>0</v>
      </c>
      <c r="AA79">
        <v>7.4649340000000004</v>
      </c>
      <c r="AC79">
        <v>3.1436449999999998</v>
      </c>
      <c r="AE79">
        <v>1</v>
      </c>
      <c r="AF79">
        <v>320</v>
      </c>
      <c r="AH79">
        <v>7</v>
      </c>
      <c r="AJ79">
        <v>228</v>
      </c>
      <c r="AL79">
        <v>4</v>
      </c>
      <c r="AN79">
        <v>320</v>
      </c>
      <c r="AO79">
        <v>7</v>
      </c>
      <c r="AP79">
        <v>228</v>
      </c>
      <c r="AQ79">
        <v>4</v>
      </c>
      <c r="AR79">
        <v>0.95499999999999996</v>
      </c>
      <c r="AS79">
        <v>5</v>
      </c>
      <c r="AU79">
        <v>0.191</v>
      </c>
    </row>
    <row r="80" spans="1:47" x14ac:dyDescent="0.3">
      <c r="A80" t="s">
        <v>114</v>
      </c>
      <c r="B80">
        <v>4849.9994459999998</v>
      </c>
      <c r="C80">
        <v>2.7497000000000001E-2</v>
      </c>
      <c r="D80">
        <v>841</v>
      </c>
      <c r="E80">
        <v>4566</v>
      </c>
      <c r="F80">
        <v>1E-3</v>
      </c>
      <c r="G80">
        <v>0</v>
      </c>
      <c r="H80">
        <v>64852.999450000003</v>
      </c>
      <c r="I80">
        <v>4849.9994459999998</v>
      </c>
      <c r="J80">
        <v>60003</v>
      </c>
      <c r="K80">
        <v>4849.9994459999998</v>
      </c>
      <c r="L80">
        <v>11.135608000000001</v>
      </c>
      <c r="N80">
        <v>1</v>
      </c>
      <c r="P80">
        <v>64852.999450000003</v>
      </c>
      <c r="Q80">
        <v>64852.999450000003</v>
      </c>
      <c r="S80">
        <v>1</v>
      </c>
      <c r="T80">
        <v>1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9.0814660000000007</v>
      </c>
      <c r="AC80">
        <v>2.0256449999999999</v>
      </c>
      <c r="AE80">
        <v>1</v>
      </c>
      <c r="AF80">
        <v>285</v>
      </c>
      <c r="AH80">
        <v>1</v>
      </c>
      <c r="AJ80">
        <v>9</v>
      </c>
      <c r="AL80">
        <v>0</v>
      </c>
      <c r="AN80">
        <v>285</v>
      </c>
      <c r="AO80">
        <v>1</v>
      </c>
      <c r="AP80">
        <v>9</v>
      </c>
      <c r="AQ80">
        <v>0</v>
      </c>
      <c r="AR80">
        <v>0.28199999999999997</v>
      </c>
      <c r="AS80">
        <v>1</v>
      </c>
      <c r="AU80">
        <v>0.28199999999999997</v>
      </c>
    </row>
    <row r="81" spans="1:48" x14ac:dyDescent="0.3">
      <c r="A81" t="s">
        <v>115</v>
      </c>
      <c r="B81">
        <v>4849.9994459999998</v>
      </c>
      <c r="C81">
        <v>2.8388E-2</v>
      </c>
      <c r="D81">
        <v>841</v>
      </c>
      <c r="E81">
        <v>4566</v>
      </c>
      <c r="F81">
        <v>1E-3</v>
      </c>
      <c r="G81">
        <v>0</v>
      </c>
      <c r="H81">
        <v>64851.999450000003</v>
      </c>
      <c r="I81">
        <v>4849.9994459999998</v>
      </c>
      <c r="J81">
        <v>60002</v>
      </c>
      <c r="K81">
        <v>4849.9994459999998</v>
      </c>
      <c r="L81">
        <v>11.569056</v>
      </c>
      <c r="N81">
        <v>1</v>
      </c>
      <c r="P81">
        <v>64851.999450000003</v>
      </c>
      <c r="Q81">
        <v>64851.999450000003</v>
      </c>
      <c r="S81">
        <v>1</v>
      </c>
      <c r="T81">
        <v>1</v>
      </c>
      <c r="U81">
        <v>1</v>
      </c>
      <c r="V81">
        <v>0</v>
      </c>
      <c r="W81">
        <v>0</v>
      </c>
      <c r="X81">
        <v>0</v>
      </c>
      <c r="Y81">
        <v>0</v>
      </c>
      <c r="Z81">
        <v>0</v>
      </c>
      <c r="AA81">
        <v>10.305880999999999</v>
      </c>
      <c r="AC81">
        <v>1.233787</v>
      </c>
      <c r="AE81">
        <v>1</v>
      </c>
      <c r="AF81">
        <v>50</v>
      </c>
      <c r="AH81">
        <v>2</v>
      </c>
      <c r="AJ81">
        <v>12</v>
      </c>
      <c r="AL81">
        <v>1</v>
      </c>
      <c r="AN81">
        <v>50</v>
      </c>
      <c r="AO81">
        <v>2</v>
      </c>
      <c r="AP81">
        <v>12</v>
      </c>
      <c r="AQ81">
        <v>1</v>
      </c>
      <c r="AR81">
        <v>0.32</v>
      </c>
      <c r="AS81">
        <v>2</v>
      </c>
      <c r="AU81">
        <v>0.16</v>
      </c>
    </row>
    <row r="82" spans="1:48" x14ac:dyDescent="0.3">
      <c r="A82" t="s">
        <v>116</v>
      </c>
      <c r="B82">
        <v>4949.999452</v>
      </c>
      <c r="C82">
        <v>2.5795999999999999E-2</v>
      </c>
      <c r="D82">
        <v>701</v>
      </c>
      <c r="E82">
        <v>3155</v>
      </c>
      <c r="F82">
        <v>1E-3</v>
      </c>
      <c r="G82">
        <v>0</v>
      </c>
      <c r="H82">
        <v>64953.999450000003</v>
      </c>
      <c r="I82">
        <v>4949.999452</v>
      </c>
      <c r="J82">
        <v>60004</v>
      </c>
      <c r="K82">
        <v>4949.999452</v>
      </c>
      <c r="L82">
        <v>3.1683810000000001</v>
      </c>
      <c r="N82">
        <v>1</v>
      </c>
      <c r="P82">
        <v>64953.999450000003</v>
      </c>
      <c r="Q82">
        <v>64953.999450000003</v>
      </c>
      <c r="S82">
        <v>1</v>
      </c>
      <c r="T82">
        <v>1</v>
      </c>
      <c r="U82">
        <v>1</v>
      </c>
      <c r="V82">
        <v>0</v>
      </c>
      <c r="W82">
        <v>0</v>
      </c>
      <c r="X82">
        <v>0</v>
      </c>
      <c r="Y82">
        <v>0</v>
      </c>
      <c r="Z82">
        <v>0</v>
      </c>
      <c r="AA82">
        <v>0.30387199999999998</v>
      </c>
      <c r="AC82">
        <v>2.8377129999999999</v>
      </c>
      <c r="AE82">
        <v>1</v>
      </c>
      <c r="AF82">
        <v>70</v>
      </c>
      <c r="AH82">
        <v>3</v>
      </c>
      <c r="AJ82">
        <v>0</v>
      </c>
      <c r="AL82">
        <v>0</v>
      </c>
      <c r="AN82">
        <v>70</v>
      </c>
      <c r="AO82">
        <v>3</v>
      </c>
      <c r="AP82">
        <v>0</v>
      </c>
      <c r="AQ82">
        <v>0</v>
      </c>
      <c r="AR82">
        <v>0.26800000000000002</v>
      </c>
      <c r="AS82">
        <v>1</v>
      </c>
      <c r="AU82">
        <v>0.26800000000000002</v>
      </c>
    </row>
    <row r="83" spans="1:48" x14ac:dyDescent="0.3">
      <c r="A83" t="s">
        <v>117</v>
      </c>
      <c r="B83">
        <v>4423.3330669999996</v>
      </c>
      <c r="C83">
        <v>2.4995E-2</v>
      </c>
      <c r="D83">
        <v>561</v>
      </c>
      <c r="E83">
        <v>2014</v>
      </c>
      <c r="F83">
        <v>0</v>
      </c>
      <c r="G83">
        <v>0</v>
      </c>
      <c r="H83">
        <v>64425.333070000001</v>
      </c>
      <c r="I83">
        <v>4423.3330429999996</v>
      </c>
      <c r="J83">
        <v>60002</v>
      </c>
      <c r="K83">
        <v>4423.3330669999996</v>
      </c>
      <c r="L83">
        <v>10.489682999999999</v>
      </c>
      <c r="N83">
        <v>1</v>
      </c>
      <c r="P83">
        <v>64425.333039999998</v>
      </c>
      <c r="Q83">
        <v>64425.333070000001</v>
      </c>
      <c r="S83">
        <v>1</v>
      </c>
      <c r="T83">
        <v>1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0.55857100000000004</v>
      </c>
      <c r="AC83">
        <v>9.9061170000000001</v>
      </c>
      <c r="AE83">
        <v>1</v>
      </c>
      <c r="AF83">
        <v>1204</v>
      </c>
      <c r="AH83">
        <v>4</v>
      </c>
      <c r="AJ83">
        <v>88</v>
      </c>
      <c r="AL83">
        <v>1</v>
      </c>
      <c r="AN83">
        <v>1204</v>
      </c>
      <c r="AO83">
        <v>4</v>
      </c>
      <c r="AP83">
        <v>88</v>
      </c>
      <c r="AQ83">
        <v>1</v>
      </c>
      <c r="AR83">
        <v>0.51500000000000001</v>
      </c>
      <c r="AS83">
        <v>3</v>
      </c>
      <c r="AU83">
        <v>0.17166699999999999</v>
      </c>
    </row>
    <row r="84" spans="1:48" x14ac:dyDescent="0.3">
      <c r="A84" t="s">
        <v>118</v>
      </c>
      <c r="B84">
        <v>4670.0000579999996</v>
      </c>
      <c r="C84">
        <v>2.5604999999999999E-2</v>
      </c>
      <c r="D84">
        <v>841</v>
      </c>
      <c r="E84">
        <v>4566</v>
      </c>
      <c r="F84">
        <v>1E-3</v>
      </c>
      <c r="G84">
        <v>0</v>
      </c>
      <c r="H84">
        <v>64673.000059999998</v>
      </c>
      <c r="I84">
        <v>4670.000035</v>
      </c>
      <c r="J84">
        <v>60003</v>
      </c>
      <c r="K84">
        <v>4670.0000579999996</v>
      </c>
      <c r="L84">
        <v>12.361601</v>
      </c>
      <c r="N84">
        <v>1</v>
      </c>
      <c r="P84">
        <v>64673.000039999999</v>
      </c>
      <c r="Q84">
        <v>64673.000059999998</v>
      </c>
      <c r="S84">
        <v>1</v>
      </c>
      <c r="T84">
        <v>1</v>
      </c>
      <c r="U84">
        <v>1</v>
      </c>
      <c r="V84">
        <v>0</v>
      </c>
      <c r="W84">
        <v>0</v>
      </c>
      <c r="X84">
        <v>0</v>
      </c>
      <c r="Y84">
        <v>0</v>
      </c>
      <c r="Z84">
        <v>0</v>
      </c>
      <c r="AA84">
        <v>9.306953</v>
      </c>
      <c r="AC84">
        <v>3.0280429999999998</v>
      </c>
      <c r="AE84">
        <v>1</v>
      </c>
      <c r="AF84">
        <v>157</v>
      </c>
      <c r="AH84">
        <v>1</v>
      </c>
      <c r="AJ84">
        <v>61</v>
      </c>
      <c r="AL84">
        <v>4</v>
      </c>
      <c r="AN84">
        <v>157</v>
      </c>
      <c r="AO84">
        <v>1</v>
      </c>
      <c r="AP84">
        <v>61</v>
      </c>
      <c r="AQ84">
        <v>4</v>
      </c>
      <c r="AR84">
        <v>0.71699999999999997</v>
      </c>
      <c r="AS84">
        <v>5</v>
      </c>
      <c r="AU84">
        <v>0.1434</v>
      </c>
    </row>
    <row r="85" spans="1:48" x14ac:dyDescent="0.3">
      <c r="A85" t="s">
        <v>119</v>
      </c>
      <c r="B85">
        <v>4559.9995170000002</v>
      </c>
      <c r="C85">
        <v>2.6173999999999999E-2</v>
      </c>
      <c r="D85">
        <v>841</v>
      </c>
      <c r="E85">
        <v>4566</v>
      </c>
      <c r="F85">
        <v>1E-3</v>
      </c>
      <c r="G85">
        <v>0</v>
      </c>
      <c r="H85">
        <v>64561.999519999998</v>
      </c>
      <c r="I85">
        <v>4559.9995099999996</v>
      </c>
      <c r="J85">
        <v>60002</v>
      </c>
      <c r="K85">
        <v>4559.9995170000002</v>
      </c>
      <c r="L85">
        <v>18.992249000000001</v>
      </c>
      <c r="N85">
        <v>1</v>
      </c>
      <c r="P85">
        <v>64561.999510000001</v>
      </c>
      <c r="Q85">
        <v>64561.999519999998</v>
      </c>
      <c r="S85">
        <v>1</v>
      </c>
      <c r="T85">
        <v>1</v>
      </c>
      <c r="U85">
        <v>1</v>
      </c>
      <c r="V85">
        <v>0</v>
      </c>
      <c r="W85">
        <v>0</v>
      </c>
      <c r="X85">
        <v>0</v>
      </c>
      <c r="Y85">
        <v>0</v>
      </c>
      <c r="Z85">
        <v>0</v>
      </c>
      <c r="AA85">
        <v>13.718559000000001</v>
      </c>
      <c r="AC85">
        <v>5.2465159999999997</v>
      </c>
      <c r="AE85">
        <v>1</v>
      </c>
      <c r="AF85">
        <v>2123</v>
      </c>
      <c r="AH85">
        <v>1</v>
      </c>
      <c r="AJ85">
        <v>144</v>
      </c>
      <c r="AL85">
        <v>0</v>
      </c>
      <c r="AN85">
        <v>2123</v>
      </c>
      <c r="AO85">
        <v>1</v>
      </c>
      <c r="AP85">
        <v>144</v>
      </c>
      <c r="AQ85">
        <v>0</v>
      </c>
      <c r="AR85">
        <v>0.252</v>
      </c>
      <c r="AS85">
        <v>1</v>
      </c>
      <c r="AU85">
        <v>0.252</v>
      </c>
    </row>
    <row r="86" spans="1:48" x14ac:dyDescent="0.3">
      <c r="A86" t="s">
        <v>120</v>
      </c>
      <c r="B86">
        <v>4493.3327669999999</v>
      </c>
      <c r="C86">
        <v>1.9653E-2</v>
      </c>
      <c r="D86">
        <v>841</v>
      </c>
      <c r="E86">
        <v>4566</v>
      </c>
      <c r="F86">
        <v>1E-3</v>
      </c>
      <c r="G86">
        <v>0</v>
      </c>
      <c r="H86">
        <v>64494.332770000001</v>
      </c>
      <c r="I86">
        <v>4493.3326719999995</v>
      </c>
      <c r="J86">
        <v>60001</v>
      </c>
      <c r="K86">
        <v>4493.3327669999999</v>
      </c>
      <c r="L86">
        <v>19.401806000000001</v>
      </c>
      <c r="N86">
        <v>1</v>
      </c>
      <c r="P86">
        <v>64494.332670000003</v>
      </c>
      <c r="Q86">
        <v>64494.332770000001</v>
      </c>
      <c r="S86">
        <v>1</v>
      </c>
      <c r="T86">
        <v>1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7.4536850000000001</v>
      </c>
      <c r="AC86">
        <v>11.927467999999999</v>
      </c>
      <c r="AE86">
        <v>1</v>
      </c>
      <c r="AF86">
        <v>92</v>
      </c>
      <c r="AH86">
        <v>3</v>
      </c>
      <c r="AJ86">
        <v>70</v>
      </c>
      <c r="AL86">
        <v>19</v>
      </c>
      <c r="AN86">
        <v>92</v>
      </c>
      <c r="AO86">
        <v>3</v>
      </c>
      <c r="AP86">
        <v>70</v>
      </c>
      <c r="AQ86">
        <v>19</v>
      </c>
      <c r="AR86">
        <v>3.367</v>
      </c>
      <c r="AS86">
        <v>22</v>
      </c>
      <c r="AU86">
        <v>0.15304499999999999</v>
      </c>
    </row>
    <row r="87" spans="1:48" x14ac:dyDescent="0.3">
      <c r="A87" t="s">
        <v>121</v>
      </c>
      <c r="B87">
        <v>4603.3325580000001</v>
      </c>
      <c r="C87">
        <v>2.2995000000000002E-2</v>
      </c>
      <c r="D87">
        <v>841</v>
      </c>
      <c r="E87">
        <v>4566</v>
      </c>
      <c r="F87">
        <v>1E-3</v>
      </c>
      <c r="G87">
        <v>0</v>
      </c>
      <c r="H87">
        <v>64606.332560000003</v>
      </c>
      <c r="I87">
        <v>4603.3325580000001</v>
      </c>
      <c r="J87">
        <v>60003</v>
      </c>
      <c r="K87">
        <v>4603.3325580000001</v>
      </c>
      <c r="L87">
        <v>28.480867</v>
      </c>
      <c r="N87">
        <v>1</v>
      </c>
      <c r="P87">
        <v>64606.332560000003</v>
      </c>
      <c r="Q87">
        <v>64606.332560000003</v>
      </c>
      <c r="S87">
        <v>1</v>
      </c>
      <c r="T87">
        <v>1</v>
      </c>
      <c r="U87">
        <v>1</v>
      </c>
      <c r="V87">
        <v>0</v>
      </c>
      <c r="W87">
        <v>0</v>
      </c>
      <c r="X87">
        <v>0</v>
      </c>
      <c r="Y87">
        <v>0</v>
      </c>
      <c r="Z87">
        <v>0</v>
      </c>
      <c r="AA87">
        <v>26.597570000000001</v>
      </c>
      <c r="AC87">
        <v>1.859302</v>
      </c>
      <c r="AE87">
        <v>1</v>
      </c>
      <c r="AF87">
        <v>702</v>
      </c>
      <c r="AH87">
        <v>0</v>
      </c>
      <c r="AJ87">
        <v>35</v>
      </c>
      <c r="AL87">
        <v>1</v>
      </c>
      <c r="AN87">
        <v>702</v>
      </c>
      <c r="AO87">
        <v>0</v>
      </c>
      <c r="AP87">
        <v>35</v>
      </c>
      <c r="AQ87">
        <v>1</v>
      </c>
      <c r="AR87">
        <v>0.224</v>
      </c>
      <c r="AS87">
        <v>2</v>
      </c>
      <c r="AU87">
        <v>0.112</v>
      </c>
    </row>
    <row r="88" spans="1:48" x14ac:dyDescent="0.3">
      <c r="A88" t="s">
        <v>122</v>
      </c>
      <c r="B88">
        <v>4423.3330669999996</v>
      </c>
      <c r="C88">
        <v>2.7233E-2</v>
      </c>
      <c r="D88">
        <v>841</v>
      </c>
      <c r="E88">
        <v>4566</v>
      </c>
      <c r="F88">
        <v>1E-3</v>
      </c>
      <c r="G88">
        <v>0</v>
      </c>
      <c r="H88">
        <v>64427.333070000001</v>
      </c>
      <c r="I88">
        <v>4423.3330669999996</v>
      </c>
      <c r="J88">
        <v>60004</v>
      </c>
      <c r="K88">
        <v>4423.3330669999996</v>
      </c>
      <c r="L88">
        <v>55.620912000000004</v>
      </c>
      <c r="N88">
        <v>1</v>
      </c>
      <c r="P88">
        <v>64427.333070000001</v>
      </c>
      <c r="Q88">
        <v>64427.333070000001</v>
      </c>
      <c r="S88">
        <v>1</v>
      </c>
      <c r="T88">
        <v>1</v>
      </c>
      <c r="U88">
        <v>1</v>
      </c>
      <c r="V88">
        <v>0</v>
      </c>
      <c r="W88">
        <v>0</v>
      </c>
      <c r="X88">
        <v>0</v>
      </c>
      <c r="Y88">
        <v>0</v>
      </c>
      <c r="Z88">
        <v>0</v>
      </c>
      <c r="AA88">
        <v>48.797226000000002</v>
      </c>
      <c r="AC88">
        <v>6.7954530000000002</v>
      </c>
      <c r="AE88">
        <v>1</v>
      </c>
      <c r="AF88">
        <v>1688</v>
      </c>
      <c r="AH88">
        <v>17</v>
      </c>
      <c r="AJ88">
        <v>603</v>
      </c>
      <c r="AL88">
        <v>3</v>
      </c>
      <c r="AN88">
        <v>1688</v>
      </c>
      <c r="AO88">
        <v>17</v>
      </c>
      <c r="AP88">
        <v>603</v>
      </c>
      <c r="AQ88">
        <v>3</v>
      </c>
      <c r="AR88">
        <v>0.621</v>
      </c>
      <c r="AS88">
        <v>5</v>
      </c>
      <c r="AU88">
        <v>0.1242</v>
      </c>
    </row>
    <row r="89" spans="1:48" s="1" customFormat="1" x14ac:dyDescent="0.3">
      <c r="A89" s="1" t="s">
        <v>123</v>
      </c>
      <c r="B89" s="1">
        <v>4829.9997030000004</v>
      </c>
      <c r="C89" s="1">
        <v>5.2708999999999999E-2</v>
      </c>
      <c r="D89" s="1">
        <v>701</v>
      </c>
      <c r="E89" s="1">
        <v>3155</v>
      </c>
      <c r="F89" s="1">
        <v>0</v>
      </c>
      <c r="G89" s="1">
        <v>0</v>
      </c>
      <c r="H89" s="1">
        <v>74830.9997</v>
      </c>
      <c r="I89" s="1">
        <v>4829.9997990000002</v>
      </c>
      <c r="J89" s="1">
        <v>70001</v>
      </c>
      <c r="K89" s="1">
        <v>4829.9997030000004</v>
      </c>
      <c r="L89" s="1">
        <v>336.76597399999997</v>
      </c>
      <c r="N89" s="1">
        <v>1</v>
      </c>
      <c r="P89" s="1">
        <v>74830.999800000005</v>
      </c>
      <c r="Q89" s="1">
        <v>74830.9997</v>
      </c>
      <c r="S89" s="1">
        <v>1</v>
      </c>
      <c r="T89" s="1">
        <v>1</v>
      </c>
      <c r="U89" s="1">
        <v>1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335.46639099999999</v>
      </c>
      <c r="AC89" s="1">
        <v>1.246874</v>
      </c>
      <c r="AE89" s="1">
        <v>1</v>
      </c>
      <c r="AF89" s="1">
        <v>32</v>
      </c>
      <c r="AH89" s="1">
        <v>3</v>
      </c>
      <c r="AJ89" s="1">
        <v>277</v>
      </c>
      <c r="AL89" s="1">
        <v>0</v>
      </c>
      <c r="AN89" s="1">
        <v>32</v>
      </c>
      <c r="AO89" s="1">
        <v>3</v>
      </c>
      <c r="AP89" s="1">
        <v>277</v>
      </c>
      <c r="AQ89" s="1">
        <v>0</v>
      </c>
      <c r="AR89" s="1">
        <v>9.2999999999999999E-2</v>
      </c>
      <c r="AS89" s="1">
        <v>1</v>
      </c>
      <c r="AU89" s="1">
        <v>9.2999999999999999E-2</v>
      </c>
    </row>
    <row r="90" spans="1:48" x14ac:dyDescent="0.3">
      <c r="A90" t="s">
        <v>171</v>
      </c>
      <c r="B90">
        <v>6079.99953</v>
      </c>
      <c r="C90">
        <v>3.3995999999999998E-2</v>
      </c>
      <c r="D90">
        <v>1482</v>
      </c>
      <c r="E90">
        <v>7137</v>
      </c>
      <c r="F90">
        <v>2E-3</v>
      </c>
      <c r="G90">
        <v>0</v>
      </c>
      <c r="H90">
        <v>46081.999530000001</v>
      </c>
      <c r="I90">
        <v>6079.999366</v>
      </c>
      <c r="J90">
        <v>40002</v>
      </c>
      <c r="K90">
        <v>6079.99953</v>
      </c>
      <c r="L90">
        <v>36.720135999999997</v>
      </c>
      <c r="M90">
        <v>300.15608667857151</v>
      </c>
      <c r="N90">
        <v>1</v>
      </c>
      <c r="O90">
        <f>AVERAGE(N90:N117)</f>
        <v>1</v>
      </c>
      <c r="P90">
        <v>46081.999369999998</v>
      </c>
      <c r="Q90">
        <v>46081.999530000001</v>
      </c>
      <c r="R90">
        <f>SUM(S90:S117)</f>
        <v>28</v>
      </c>
      <c r="S90">
        <v>1</v>
      </c>
      <c r="T90">
        <v>1</v>
      </c>
      <c r="U90">
        <v>1</v>
      </c>
      <c r="V90">
        <v>0</v>
      </c>
      <c r="W90">
        <v>0</v>
      </c>
      <c r="X90">
        <v>0</v>
      </c>
      <c r="Y90">
        <v>0</v>
      </c>
      <c r="Z90">
        <v>0</v>
      </c>
      <c r="AA90">
        <v>19.251614</v>
      </c>
      <c r="AB90">
        <v>178.62930335714285</v>
      </c>
      <c r="AC90">
        <v>17.432525999999999</v>
      </c>
      <c r="AD90">
        <v>121.4848462857143</v>
      </c>
      <c r="AE90">
        <v>1</v>
      </c>
      <c r="AF90">
        <v>46</v>
      </c>
      <c r="AG90">
        <f>AVERAGE(AF90:AF117)</f>
        <v>1445.25</v>
      </c>
      <c r="AH90">
        <v>2</v>
      </c>
      <c r="AI90">
        <f>AVERAGE(AH90:AH117)</f>
        <v>9.4642857142857135</v>
      </c>
      <c r="AJ90">
        <v>1177</v>
      </c>
      <c r="AK90">
        <f>AVERAGE(AJ90:AJ117)</f>
        <v>9303.5714285714294</v>
      </c>
      <c r="AL90">
        <v>5</v>
      </c>
      <c r="AM90">
        <f>AVERAGE(AL90:AL117)</f>
        <v>86.035714285714292</v>
      </c>
      <c r="AN90">
        <v>46</v>
      </c>
      <c r="AO90">
        <v>2</v>
      </c>
      <c r="AP90">
        <v>1177</v>
      </c>
      <c r="AQ90">
        <v>5</v>
      </c>
      <c r="AR90">
        <v>5.3780000000000001</v>
      </c>
      <c r="AS90">
        <v>6</v>
      </c>
      <c r="AT90">
        <f>AVERAGE(AS90:AS117)</f>
        <v>87.285714285714292</v>
      </c>
      <c r="AU90">
        <v>0.89633300000000005</v>
      </c>
      <c r="AV90">
        <f>AVERAGE(AU90:AU117)</f>
        <v>0.70974885714285707</v>
      </c>
    </row>
    <row r="91" spans="1:48" x14ac:dyDescent="0.3">
      <c r="A91" t="s">
        <v>172</v>
      </c>
      <c r="B91">
        <v>6539.9992110000003</v>
      </c>
      <c r="C91">
        <v>3.3434999999999999E-2</v>
      </c>
      <c r="D91">
        <v>1780</v>
      </c>
      <c r="E91">
        <v>10308</v>
      </c>
      <c r="F91">
        <v>3.0000000000000001E-3</v>
      </c>
      <c r="G91">
        <v>0</v>
      </c>
      <c r="H91">
        <v>46543.999210000002</v>
      </c>
      <c r="I91">
        <v>6539.999186</v>
      </c>
      <c r="J91">
        <v>40004</v>
      </c>
      <c r="K91">
        <v>6539.9992110000003</v>
      </c>
      <c r="L91">
        <v>47.385486999999998</v>
      </c>
      <c r="N91">
        <v>1</v>
      </c>
      <c r="P91">
        <v>46543.999190000002</v>
      </c>
      <c r="Q91">
        <v>46543.999210000002</v>
      </c>
      <c r="S91">
        <v>1</v>
      </c>
      <c r="T91">
        <v>1</v>
      </c>
      <c r="U91">
        <v>1</v>
      </c>
      <c r="V91">
        <v>0</v>
      </c>
      <c r="W91">
        <v>0</v>
      </c>
      <c r="X91">
        <v>0</v>
      </c>
      <c r="Y91">
        <v>0</v>
      </c>
      <c r="Z91">
        <v>0</v>
      </c>
      <c r="AA91">
        <v>24.47738</v>
      </c>
      <c r="AC91">
        <v>22.871672</v>
      </c>
      <c r="AE91">
        <v>1</v>
      </c>
      <c r="AF91">
        <v>218</v>
      </c>
      <c r="AH91">
        <v>11</v>
      </c>
      <c r="AJ91">
        <v>2891</v>
      </c>
      <c r="AL91">
        <v>1</v>
      </c>
      <c r="AN91">
        <v>218</v>
      </c>
      <c r="AO91">
        <v>11</v>
      </c>
      <c r="AP91">
        <v>2891</v>
      </c>
      <c r="AQ91">
        <v>1</v>
      </c>
      <c r="AR91">
        <v>2.294</v>
      </c>
      <c r="AS91">
        <v>3</v>
      </c>
      <c r="AU91">
        <v>0.76466699999999999</v>
      </c>
    </row>
    <row r="92" spans="1:48" x14ac:dyDescent="0.3">
      <c r="A92" t="s">
        <v>173</v>
      </c>
      <c r="B92">
        <v>6519.9999809999999</v>
      </c>
      <c r="C92">
        <v>3.8560999999999998E-2</v>
      </c>
      <c r="D92">
        <v>1780</v>
      </c>
      <c r="E92">
        <v>10308</v>
      </c>
      <c r="F92">
        <v>2E-3</v>
      </c>
      <c r="G92">
        <v>0</v>
      </c>
      <c r="H92">
        <v>46522.999980000001</v>
      </c>
      <c r="I92">
        <v>6519.9999809999999</v>
      </c>
      <c r="J92">
        <v>40003</v>
      </c>
      <c r="K92">
        <v>6519.9999809999999</v>
      </c>
      <c r="L92">
        <v>154.05318399999999</v>
      </c>
      <c r="N92">
        <v>1</v>
      </c>
      <c r="P92">
        <v>46522.999980000001</v>
      </c>
      <c r="Q92">
        <v>46522.999980000001</v>
      </c>
      <c r="S92">
        <v>1</v>
      </c>
      <c r="T92">
        <v>1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55.156157</v>
      </c>
      <c r="AC92">
        <v>98.856465999999998</v>
      </c>
      <c r="AE92">
        <v>1</v>
      </c>
      <c r="AF92">
        <v>2571</v>
      </c>
      <c r="AH92">
        <v>13</v>
      </c>
      <c r="AJ92">
        <v>15891</v>
      </c>
      <c r="AL92">
        <v>15</v>
      </c>
      <c r="AN92">
        <v>2571</v>
      </c>
      <c r="AO92">
        <v>13</v>
      </c>
      <c r="AP92">
        <v>15891</v>
      </c>
      <c r="AQ92">
        <v>15</v>
      </c>
      <c r="AR92">
        <v>8.3819999999999997</v>
      </c>
      <c r="AS92">
        <v>16</v>
      </c>
      <c r="AU92">
        <v>0.52387499999999998</v>
      </c>
    </row>
    <row r="93" spans="1:48" x14ac:dyDescent="0.3">
      <c r="A93" t="s">
        <v>174</v>
      </c>
      <c r="B93">
        <v>6480.000043</v>
      </c>
      <c r="C93">
        <v>3.1669000000000003E-2</v>
      </c>
      <c r="D93">
        <v>1506</v>
      </c>
      <c r="E93">
        <v>7248</v>
      </c>
      <c r="F93">
        <v>2E-3</v>
      </c>
      <c r="G93">
        <v>0</v>
      </c>
      <c r="H93">
        <v>46484.000039999999</v>
      </c>
      <c r="I93">
        <v>6480.0000010000003</v>
      </c>
      <c r="J93">
        <v>40004</v>
      </c>
      <c r="K93">
        <v>6480.000043</v>
      </c>
      <c r="L93">
        <v>98.666134999999997</v>
      </c>
      <c r="N93">
        <v>1</v>
      </c>
      <c r="P93">
        <v>46484</v>
      </c>
      <c r="Q93">
        <v>46484.000039999999</v>
      </c>
      <c r="S93">
        <v>1</v>
      </c>
      <c r="T93">
        <v>1</v>
      </c>
      <c r="U93">
        <v>1</v>
      </c>
      <c r="V93">
        <v>0</v>
      </c>
      <c r="W93">
        <v>0</v>
      </c>
      <c r="X93">
        <v>0</v>
      </c>
      <c r="Y93">
        <v>0</v>
      </c>
      <c r="Z93">
        <v>0</v>
      </c>
      <c r="AA93">
        <v>7.1529639999999999</v>
      </c>
      <c r="AC93">
        <v>91.479501999999997</v>
      </c>
      <c r="AE93">
        <v>1</v>
      </c>
      <c r="AF93">
        <v>48</v>
      </c>
      <c r="AH93">
        <v>9</v>
      </c>
      <c r="AJ93">
        <v>10559</v>
      </c>
      <c r="AL93">
        <v>51</v>
      </c>
      <c r="AN93">
        <v>48</v>
      </c>
      <c r="AO93">
        <v>9</v>
      </c>
      <c r="AP93">
        <v>10559</v>
      </c>
      <c r="AQ93">
        <v>51</v>
      </c>
      <c r="AR93">
        <v>38.783999999999999</v>
      </c>
      <c r="AS93">
        <v>53</v>
      </c>
      <c r="AU93">
        <v>0.73177400000000004</v>
      </c>
    </row>
    <row r="94" spans="1:48" x14ac:dyDescent="0.3">
      <c r="A94" t="s">
        <v>175</v>
      </c>
      <c r="B94">
        <v>6239.9997350000003</v>
      </c>
      <c r="C94">
        <v>3.4029999999999998E-2</v>
      </c>
      <c r="D94">
        <v>1780</v>
      </c>
      <c r="E94">
        <v>10308</v>
      </c>
      <c r="F94">
        <v>3.0000000000000001E-3</v>
      </c>
      <c r="G94">
        <v>0</v>
      </c>
      <c r="H94">
        <v>56240.999739999999</v>
      </c>
      <c r="I94">
        <v>6239.9998100000003</v>
      </c>
      <c r="J94">
        <v>50001</v>
      </c>
      <c r="K94">
        <v>6239.9997350000003</v>
      </c>
      <c r="L94">
        <v>61.150539999999999</v>
      </c>
      <c r="N94">
        <v>1</v>
      </c>
      <c r="P94">
        <v>56240.999810000001</v>
      </c>
      <c r="Q94">
        <v>56240.999739999999</v>
      </c>
      <c r="S94">
        <v>1</v>
      </c>
      <c r="T94">
        <v>1</v>
      </c>
      <c r="U94">
        <v>1</v>
      </c>
      <c r="V94">
        <v>0</v>
      </c>
      <c r="W94">
        <v>0</v>
      </c>
      <c r="X94">
        <v>0</v>
      </c>
      <c r="Y94">
        <v>0</v>
      </c>
      <c r="Z94">
        <v>0</v>
      </c>
      <c r="AA94">
        <v>13.207079</v>
      </c>
      <c r="AC94">
        <v>47.906430999999998</v>
      </c>
      <c r="AE94">
        <v>1</v>
      </c>
      <c r="AF94">
        <v>11</v>
      </c>
      <c r="AH94">
        <v>8</v>
      </c>
      <c r="AJ94">
        <v>4206</v>
      </c>
      <c r="AL94">
        <v>17</v>
      </c>
      <c r="AN94">
        <v>11</v>
      </c>
      <c r="AO94">
        <v>8</v>
      </c>
      <c r="AP94">
        <v>4206</v>
      </c>
      <c r="AQ94">
        <v>17</v>
      </c>
      <c r="AR94">
        <v>14.141999999999999</v>
      </c>
      <c r="AS94">
        <v>19</v>
      </c>
      <c r="AU94">
        <v>0.74431599999999998</v>
      </c>
    </row>
    <row r="95" spans="1:48" x14ac:dyDescent="0.3">
      <c r="A95" t="s">
        <v>176</v>
      </c>
      <c r="B95">
        <v>5999.9993919999997</v>
      </c>
      <c r="C95">
        <v>3.4096000000000001E-2</v>
      </c>
      <c r="D95">
        <v>1780</v>
      </c>
      <c r="E95">
        <v>10308</v>
      </c>
      <c r="F95">
        <v>2E-3</v>
      </c>
      <c r="G95">
        <v>0</v>
      </c>
      <c r="H95">
        <v>46002.999389999997</v>
      </c>
      <c r="I95">
        <v>5999.9993270000004</v>
      </c>
      <c r="J95">
        <v>40003</v>
      </c>
      <c r="K95">
        <v>5999.9993919999997</v>
      </c>
      <c r="L95">
        <v>81.77573799999999</v>
      </c>
      <c r="N95">
        <v>1</v>
      </c>
      <c r="P95">
        <v>46002.999329999999</v>
      </c>
      <c r="Q95">
        <v>46002.999389999997</v>
      </c>
      <c r="S95">
        <v>1</v>
      </c>
      <c r="T95">
        <v>1</v>
      </c>
      <c r="U95">
        <v>1</v>
      </c>
      <c r="V95">
        <v>0</v>
      </c>
      <c r="W95">
        <v>0</v>
      </c>
      <c r="X95">
        <v>0</v>
      </c>
      <c r="Y95">
        <v>0</v>
      </c>
      <c r="Z95">
        <v>0</v>
      </c>
      <c r="AA95">
        <v>45.353265999999998</v>
      </c>
      <c r="AC95">
        <v>36.386375999999998</v>
      </c>
      <c r="AE95">
        <v>1</v>
      </c>
      <c r="AF95">
        <v>483</v>
      </c>
      <c r="AH95">
        <v>11</v>
      </c>
      <c r="AJ95">
        <v>9593</v>
      </c>
      <c r="AL95">
        <v>18</v>
      </c>
      <c r="AN95">
        <v>483</v>
      </c>
      <c r="AO95">
        <v>11</v>
      </c>
      <c r="AP95">
        <v>9593</v>
      </c>
      <c r="AQ95">
        <v>18</v>
      </c>
      <c r="AR95">
        <v>15.574</v>
      </c>
      <c r="AS95">
        <v>19</v>
      </c>
      <c r="AU95">
        <v>0.81968399999999997</v>
      </c>
    </row>
    <row r="96" spans="1:48" x14ac:dyDescent="0.3">
      <c r="A96" t="s">
        <v>177</v>
      </c>
      <c r="B96">
        <v>6499.9992549999997</v>
      </c>
      <c r="C96">
        <v>3.4907000000000001E-2</v>
      </c>
      <c r="D96">
        <v>1780</v>
      </c>
      <c r="E96">
        <v>10308</v>
      </c>
      <c r="F96">
        <v>2E-3</v>
      </c>
      <c r="G96">
        <v>0</v>
      </c>
      <c r="H96">
        <v>46503.999259999997</v>
      </c>
      <c r="I96">
        <v>6499.9992329999995</v>
      </c>
      <c r="J96">
        <v>40004</v>
      </c>
      <c r="K96">
        <v>6499.9992549999997</v>
      </c>
      <c r="L96">
        <v>81.701037999999997</v>
      </c>
      <c r="N96">
        <v>1</v>
      </c>
      <c r="P96">
        <v>46503.999230000001</v>
      </c>
      <c r="Q96">
        <v>46503.999259999997</v>
      </c>
      <c r="S96">
        <v>1</v>
      </c>
      <c r="T96">
        <v>1</v>
      </c>
      <c r="U96">
        <v>1</v>
      </c>
      <c r="V96">
        <v>0</v>
      </c>
      <c r="W96">
        <v>0</v>
      </c>
      <c r="X96">
        <v>0</v>
      </c>
      <c r="Y96">
        <v>0</v>
      </c>
      <c r="Z96">
        <v>0</v>
      </c>
      <c r="AA96">
        <v>27.617849</v>
      </c>
      <c r="AC96">
        <v>54.046281999999998</v>
      </c>
      <c r="AE96">
        <v>1</v>
      </c>
      <c r="AF96">
        <v>3200</v>
      </c>
      <c r="AH96">
        <v>18</v>
      </c>
      <c r="AJ96">
        <v>10971</v>
      </c>
      <c r="AL96">
        <v>0</v>
      </c>
      <c r="AN96">
        <v>3200</v>
      </c>
      <c r="AO96">
        <v>18</v>
      </c>
      <c r="AP96">
        <v>10971</v>
      </c>
      <c r="AQ96">
        <v>0</v>
      </c>
      <c r="AR96">
        <v>0.45200000000000001</v>
      </c>
      <c r="AS96">
        <v>1</v>
      </c>
      <c r="AU96">
        <v>0.45200000000000001</v>
      </c>
    </row>
    <row r="97" spans="1:47" x14ac:dyDescent="0.3">
      <c r="A97" t="s">
        <v>178</v>
      </c>
      <c r="B97">
        <v>6539.9992110000003</v>
      </c>
      <c r="C97">
        <v>3.9038999999999997E-2</v>
      </c>
      <c r="D97">
        <v>1780</v>
      </c>
      <c r="E97">
        <v>10308</v>
      </c>
      <c r="F97">
        <v>2E-3</v>
      </c>
      <c r="G97">
        <v>0</v>
      </c>
      <c r="H97">
        <v>46544.999210000002</v>
      </c>
      <c r="I97">
        <v>6539.9992110000003</v>
      </c>
      <c r="J97">
        <v>40005</v>
      </c>
      <c r="K97">
        <v>6539.9992110000003</v>
      </c>
      <c r="L97">
        <v>279.33095900000001</v>
      </c>
      <c r="N97">
        <v>1</v>
      </c>
      <c r="P97">
        <v>46544.999210000002</v>
      </c>
      <c r="Q97">
        <v>46544.999210000002</v>
      </c>
      <c r="S97">
        <v>1</v>
      </c>
      <c r="T97">
        <v>1</v>
      </c>
      <c r="U97">
        <v>1</v>
      </c>
      <c r="V97">
        <v>0</v>
      </c>
      <c r="W97">
        <v>0</v>
      </c>
      <c r="X97">
        <v>0</v>
      </c>
      <c r="Y97">
        <v>0</v>
      </c>
      <c r="Z97">
        <v>0</v>
      </c>
      <c r="AA97">
        <v>152.42726500000001</v>
      </c>
      <c r="AC97">
        <v>126.862655</v>
      </c>
      <c r="AE97">
        <v>1</v>
      </c>
      <c r="AF97">
        <v>827</v>
      </c>
      <c r="AH97">
        <v>19</v>
      </c>
      <c r="AJ97">
        <v>17594</v>
      </c>
      <c r="AL97">
        <v>57</v>
      </c>
      <c r="AN97">
        <v>827</v>
      </c>
      <c r="AO97">
        <v>19</v>
      </c>
      <c r="AP97">
        <v>17594</v>
      </c>
      <c r="AQ97">
        <v>57</v>
      </c>
      <c r="AR97">
        <v>42.828000000000003</v>
      </c>
      <c r="AS97">
        <v>59</v>
      </c>
      <c r="AU97">
        <v>0.72589800000000004</v>
      </c>
    </row>
    <row r="98" spans="1:47" x14ac:dyDescent="0.3">
      <c r="A98" t="s">
        <v>179</v>
      </c>
      <c r="B98">
        <v>6519.9997899999998</v>
      </c>
      <c r="C98">
        <v>3.7753000000000002E-2</v>
      </c>
      <c r="D98">
        <v>1780</v>
      </c>
      <c r="E98">
        <v>10308</v>
      </c>
      <c r="F98">
        <v>3.0000000000000001E-3</v>
      </c>
      <c r="G98">
        <v>0</v>
      </c>
      <c r="H98">
        <v>56521.999790000002</v>
      </c>
      <c r="I98">
        <v>6519.9996069999997</v>
      </c>
      <c r="J98">
        <v>50002</v>
      </c>
      <c r="K98">
        <v>6519.9997899999998</v>
      </c>
      <c r="L98">
        <v>182.55143899999999</v>
      </c>
      <c r="N98">
        <v>1</v>
      </c>
      <c r="P98">
        <v>56521.999609999999</v>
      </c>
      <c r="Q98">
        <v>56521.999790000002</v>
      </c>
      <c r="S98">
        <v>1</v>
      </c>
      <c r="T98">
        <v>1</v>
      </c>
      <c r="U98">
        <v>1</v>
      </c>
      <c r="V98">
        <v>0</v>
      </c>
      <c r="W98">
        <v>0</v>
      </c>
      <c r="X98">
        <v>0</v>
      </c>
      <c r="Y98">
        <v>0</v>
      </c>
      <c r="Z98">
        <v>0</v>
      </c>
      <c r="AA98">
        <v>118.668145</v>
      </c>
      <c r="AC98">
        <v>63.842540999999997</v>
      </c>
      <c r="AE98">
        <v>1</v>
      </c>
      <c r="AF98">
        <v>33</v>
      </c>
      <c r="AH98">
        <v>17</v>
      </c>
      <c r="AJ98">
        <v>8739</v>
      </c>
      <c r="AL98">
        <v>0</v>
      </c>
      <c r="AN98">
        <v>33</v>
      </c>
      <c r="AO98">
        <v>17</v>
      </c>
      <c r="AP98">
        <v>8739</v>
      </c>
      <c r="AQ98">
        <v>0</v>
      </c>
      <c r="AR98">
        <v>0.435</v>
      </c>
      <c r="AS98">
        <v>1</v>
      </c>
      <c r="AU98">
        <v>0.435</v>
      </c>
    </row>
    <row r="99" spans="1:47" x14ac:dyDescent="0.3">
      <c r="A99" t="s">
        <v>180</v>
      </c>
      <c r="B99">
        <v>6159.9997039999998</v>
      </c>
      <c r="C99">
        <v>3.9218000000000003E-2</v>
      </c>
      <c r="D99">
        <v>1506</v>
      </c>
      <c r="E99">
        <v>7248</v>
      </c>
      <c r="F99">
        <v>2E-3</v>
      </c>
      <c r="G99">
        <v>0</v>
      </c>
      <c r="H99">
        <v>56160.9997</v>
      </c>
      <c r="I99">
        <v>6159.9997039999998</v>
      </c>
      <c r="J99">
        <v>50001</v>
      </c>
      <c r="K99">
        <v>6159.9997039999998</v>
      </c>
      <c r="L99">
        <v>56.106769</v>
      </c>
      <c r="N99">
        <v>1</v>
      </c>
      <c r="P99">
        <v>56160.9997</v>
      </c>
      <c r="Q99">
        <v>56160.9997</v>
      </c>
      <c r="S99">
        <v>1</v>
      </c>
      <c r="T99">
        <v>1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48.757066000000002</v>
      </c>
      <c r="AC99">
        <v>7.3084850000000001</v>
      </c>
      <c r="AE99">
        <v>1</v>
      </c>
      <c r="AF99">
        <v>30</v>
      </c>
      <c r="AH99">
        <v>2</v>
      </c>
      <c r="AJ99">
        <v>145</v>
      </c>
      <c r="AL99">
        <v>0</v>
      </c>
      <c r="AN99">
        <v>30</v>
      </c>
      <c r="AO99">
        <v>2</v>
      </c>
      <c r="AP99">
        <v>145</v>
      </c>
      <c r="AQ99">
        <v>0</v>
      </c>
      <c r="AR99">
        <v>0.61499999999999999</v>
      </c>
      <c r="AS99">
        <v>1</v>
      </c>
      <c r="AU99">
        <v>0.61499999999999999</v>
      </c>
    </row>
    <row r="100" spans="1:47" x14ac:dyDescent="0.3">
      <c r="A100" t="s">
        <v>181</v>
      </c>
      <c r="B100">
        <v>6250</v>
      </c>
      <c r="C100">
        <v>3.1022000000000001E-2</v>
      </c>
      <c r="D100">
        <v>1506</v>
      </c>
      <c r="E100">
        <v>7248</v>
      </c>
      <c r="F100">
        <v>2E-3</v>
      </c>
      <c r="G100">
        <v>0</v>
      </c>
      <c r="H100">
        <v>56251</v>
      </c>
      <c r="I100">
        <v>6250</v>
      </c>
      <c r="J100">
        <v>50001</v>
      </c>
      <c r="K100">
        <v>6250</v>
      </c>
      <c r="L100">
        <v>475.46374100000003</v>
      </c>
      <c r="N100">
        <v>1</v>
      </c>
      <c r="P100">
        <v>56251</v>
      </c>
      <c r="Q100">
        <v>56251</v>
      </c>
      <c r="S100">
        <v>1</v>
      </c>
      <c r="T100">
        <v>1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19.196037</v>
      </c>
      <c r="AC100">
        <v>456.23468200000002</v>
      </c>
      <c r="AE100">
        <v>1</v>
      </c>
      <c r="AF100">
        <v>703</v>
      </c>
      <c r="AH100">
        <v>16</v>
      </c>
      <c r="AJ100">
        <v>20189</v>
      </c>
      <c r="AL100">
        <v>509</v>
      </c>
      <c r="AN100">
        <v>703</v>
      </c>
      <c r="AO100">
        <v>16</v>
      </c>
      <c r="AP100">
        <v>20189</v>
      </c>
      <c r="AQ100">
        <v>509</v>
      </c>
      <c r="AR100">
        <v>340.13499999999999</v>
      </c>
      <c r="AS100">
        <v>510</v>
      </c>
      <c r="AU100">
        <v>0.66693100000000005</v>
      </c>
    </row>
    <row r="101" spans="1:47" x14ac:dyDescent="0.3">
      <c r="A101" t="s">
        <v>182</v>
      </c>
      <c r="B101">
        <v>6160.0000559999999</v>
      </c>
      <c r="C101">
        <v>3.6644000000000003E-2</v>
      </c>
      <c r="D101">
        <v>1780</v>
      </c>
      <c r="E101">
        <v>10308</v>
      </c>
      <c r="F101">
        <v>3.0000000000000001E-3</v>
      </c>
      <c r="G101">
        <v>0</v>
      </c>
      <c r="H101">
        <v>46163.000059999998</v>
      </c>
      <c r="I101">
        <v>6160.0000559999999</v>
      </c>
      <c r="J101">
        <v>40003</v>
      </c>
      <c r="K101">
        <v>6160.0000559999999</v>
      </c>
      <c r="L101">
        <v>62.777428999999998</v>
      </c>
      <c r="N101">
        <v>1</v>
      </c>
      <c r="P101">
        <v>46163.000059999998</v>
      </c>
      <c r="Q101">
        <v>46163.000059999998</v>
      </c>
      <c r="S101">
        <v>1</v>
      </c>
      <c r="T101">
        <v>1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39.699793999999997</v>
      </c>
      <c r="AC101">
        <v>23.037991000000002</v>
      </c>
      <c r="AE101">
        <v>1</v>
      </c>
      <c r="AF101">
        <v>423</v>
      </c>
      <c r="AH101">
        <v>0</v>
      </c>
      <c r="AJ101">
        <v>597</v>
      </c>
      <c r="AL101">
        <v>0</v>
      </c>
      <c r="AN101">
        <v>423</v>
      </c>
      <c r="AO101">
        <v>0</v>
      </c>
      <c r="AP101">
        <v>597</v>
      </c>
      <c r="AQ101">
        <v>0</v>
      </c>
      <c r="AR101">
        <v>0.45400000000000001</v>
      </c>
      <c r="AS101">
        <v>1</v>
      </c>
      <c r="AU101">
        <v>0.45400000000000001</v>
      </c>
    </row>
    <row r="102" spans="1:47" x14ac:dyDescent="0.3">
      <c r="A102" t="s">
        <v>183</v>
      </c>
      <c r="B102">
        <v>6159.9999610000004</v>
      </c>
      <c r="C102">
        <v>8.3752999999999994E-2</v>
      </c>
      <c r="D102">
        <v>1506</v>
      </c>
      <c r="E102">
        <v>7248</v>
      </c>
      <c r="F102">
        <v>2E-3</v>
      </c>
      <c r="G102">
        <v>0</v>
      </c>
      <c r="H102">
        <v>46162.999960000001</v>
      </c>
      <c r="I102">
        <v>6159.999871</v>
      </c>
      <c r="J102">
        <v>40003</v>
      </c>
      <c r="K102">
        <v>6159.9999610000004</v>
      </c>
      <c r="L102">
        <v>98.884473</v>
      </c>
      <c r="N102">
        <v>1</v>
      </c>
      <c r="P102">
        <v>46162.99987</v>
      </c>
      <c r="Q102">
        <v>46162.999960000001</v>
      </c>
      <c r="S102">
        <v>1</v>
      </c>
      <c r="T102">
        <v>1</v>
      </c>
      <c r="U102">
        <v>1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14.540902000000001</v>
      </c>
      <c r="AC102">
        <v>84.257818</v>
      </c>
      <c r="AE102">
        <v>1</v>
      </c>
      <c r="AF102">
        <v>1096</v>
      </c>
      <c r="AH102">
        <v>19</v>
      </c>
      <c r="AJ102">
        <v>17312</v>
      </c>
      <c r="AL102">
        <v>35</v>
      </c>
      <c r="AN102">
        <v>1096</v>
      </c>
      <c r="AO102">
        <v>19</v>
      </c>
      <c r="AP102">
        <v>17312</v>
      </c>
      <c r="AQ102">
        <v>35</v>
      </c>
      <c r="AR102">
        <v>24.748000000000001</v>
      </c>
      <c r="AS102">
        <v>36</v>
      </c>
      <c r="AU102">
        <v>0.68744400000000006</v>
      </c>
    </row>
    <row r="103" spans="1:47" x14ac:dyDescent="0.3">
      <c r="A103" t="s">
        <v>184</v>
      </c>
      <c r="B103">
        <v>6149.9999760000001</v>
      </c>
      <c r="C103">
        <v>3.4018E-2</v>
      </c>
      <c r="D103">
        <v>1780</v>
      </c>
      <c r="E103">
        <v>10308</v>
      </c>
      <c r="F103">
        <v>3.0000000000000001E-3</v>
      </c>
      <c r="G103">
        <v>0</v>
      </c>
      <c r="H103">
        <v>46152.999980000001</v>
      </c>
      <c r="I103">
        <v>6149.9999760000001</v>
      </c>
      <c r="J103">
        <v>40003</v>
      </c>
      <c r="K103">
        <v>6149.9999760000001</v>
      </c>
      <c r="L103">
        <v>24.762495000000001</v>
      </c>
      <c r="N103">
        <v>1</v>
      </c>
      <c r="P103">
        <v>46152.999980000001</v>
      </c>
      <c r="Q103">
        <v>46152.999980000001</v>
      </c>
      <c r="S103">
        <v>1</v>
      </c>
      <c r="T103">
        <v>1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14.816595</v>
      </c>
      <c r="AC103">
        <v>9.9088820000000002</v>
      </c>
      <c r="AE103">
        <v>1</v>
      </c>
      <c r="AF103">
        <v>48</v>
      </c>
      <c r="AH103">
        <v>0</v>
      </c>
      <c r="AJ103">
        <v>247</v>
      </c>
      <c r="AL103">
        <v>3</v>
      </c>
      <c r="AN103">
        <v>48</v>
      </c>
      <c r="AO103">
        <v>0</v>
      </c>
      <c r="AP103">
        <v>247</v>
      </c>
      <c r="AQ103">
        <v>3</v>
      </c>
      <c r="AR103">
        <v>3.3290000000000002</v>
      </c>
      <c r="AS103">
        <v>4</v>
      </c>
      <c r="AU103">
        <v>0.83225000000000005</v>
      </c>
    </row>
    <row r="104" spans="1:47" x14ac:dyDescent="0.3">
      <c r="A104" t="s">
        <v>185</v>
      </c>
      <c r="B104">
        <v>6129.9999589999998</v>
      </c>
      <c r="C104">
        <v>3.6291999999999998E-2</v>
      </c>
      <c r="D104">
        <v>1780</v>
      </c>
      <c r="E104">
        <v>10308</v>
      </c>
      <c r="F104">
        <v>2E-3</v>
      </c>
      <c r="G104">
        <v>0</v>
      </c>
      <c r="H104">
        <v>56131.999960000001</v>
      </c>
      <c r="I104">
        <v>6129.9999589999998</v>
      </c>
      <c r="J104">
        <v>50002</v>
      </c>
      <c r="K104">
        <v>6129.9999589999998</v>
      </c>
      <c r="L104">
        <v>107.78655599999999</v>
      </c>
      <c r="N104">
        <v>1</v>
      </c>
      <c r="P104">
        <v>56131.999960000001</v>
      </c>
      <c r="Q104">
        <v>56131.999960000001</v>
      </c>
      <c r="S104">
        <v>1</v>
      </c>
      <c r="T104">
        <v>1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79.970652999999999</v>
      </c>
      <c r="AC104">
        <v>27.777611</v>
      </c>
      <c r="AE104">
        <v>1</v>
      </c>
      <c r="AF104">
        <v>26</v>
      </c>
      <c r="AH104">
        <v>0</v>
      </c>
      <c r="AJ104">
        <v>1373</v>
      </c>
      <c r="AL104">
        <v>11</v>
      </c>
      <c r="AN104">
        <v>26</v>
      </c>
      <c r="AO104">
        <v>0</v>
      </c>
      <c r="AP104">
        <v>1373</v>
      </c>
      <c r="AQ104">
        <v>11</v>
      </c>
      <c r="AR104">
        <v>14.978</v>
      </c>
      <c r="AS104">
        <v>12</v>
      </c>
      <c r="AU104">
        <v>1.248167</v>
      </c>
    </row>
    <row r="105" spans="1:47" x14ac:dyDescent="0.3">
      <c r="A105" t="s">
        <v>186</v>
      </c>
      <c r="B105">
        <v>6150.0007329999999</v>
      </c>
      <c r="C105">
        <v>3.2767999999999999E-2</v>
      </c>
      <c r="D105">
        <v>1780</v>
      </c>
      <c r="E105">
        <v>10308</v>
      </c>
      <c r="F105">
        <v>3.0000000000000001E-3</v>
      </c>
      <c r="G105">
        <v>0</v>
      </c>
      <c r="H105">
        <v>46153.00073</v>
      </c>
      <c r="I105">
        <v>6150.0006599999997</v>
      </c>
      <c r="J105">
        <v>40003</v>
      </c>
      <c r="K105">
        <v>6150.0007329999999</v>
      </c>
      <c r="L105">
        <v>171.74100099999998</v>
      </c>
      <c r="N105">
        <v>1</v>
      </c>
      <c r="P105">
        <v>46153.000659999998</v>
      </c>
      <c r="Q105">
        <v>46153.00073</v>
      </c>
      <c r="S105">
        <v>1</v>
      </c>
      <c r="T105">
        <v>1</v>
      </c>
      <c r="U105">
        <v>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61.817644999999999</v>
      </c>
      <c r="AC105">
        <v>109.88758799999999</v>
      </c>
      <c r="AE105">
        <v>1</v>
      </c>
      <c r="AF105">
        <v>17</v>
      </c>
      <c r="AH105">
        <v>2</v>
      </c>
      <c r="AJ105">
        <v>1157</v>
      </c>
      <c r="AL105">
        <v>145</v>
      </c>
      <c r="AN105">
        <v>17</v>
      </c>
      <c r="AO105">
        <v>2</v>
      </c>
      <c r="AP105">
        <v>1157</v>
      </c>
      <c r="AQ105">
        <v>145</v>
      </c>
      <c r="AR105">
        <v>89.385999999999996</v>
      </c>
      <c r="AS105">
        <v>146</v>
      </c>
      <c r="AU105">
        <v>0.61223300000000003</v>
      </c>
    </row>
    <row r="106" spans="1:47" x14ac:dyDescent="0.3">
      <c r="A106" t="s">
        <v>187</v>
      </c>
      <c r="B106">
        <v>6039.9997530000001</v>
      </c>
      <c r="C106">
        <v>3.4404999999999998E-2</v>
      </c>
      <c r="D106">
        <v>1780</v>
      </c>
      <c r="E106">
        <v>10308</v>
      </c>
      <c r="F106">
        <v>2E-3</v>
      </c>
      <c r="G106">
        <v>0</v>
      </c>
      <c r="H106">
        <v>56041.999750000003</v>
      </c>
      <c r="I106">
        <v>6039.9996279999996</v>
      </c>
      <c r="J106">
        <v>50002</v>
      </c>
      <c r="K106">
        <v>6039.9997530000001</v>
      </c>
      <c r="L106">
        <v>94.732468999999995</v>
      </c>
      <c r="N106">
        <v>1</v>
      </c>
      <c r="P106">
        <v>56041.999629999998</v>
      </c>
      <c r="Q106">
        <v>56041.999750000003</v>
      </c>
      <c r="S106">
        <v>1</v>
      </c>
      <c r="T106">
        <v>1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87.143636999999998</v>
      </c>
      <c r="AC106">
        <v>7.5524269999999998</v>
      </c>
      <c r="AE106">
        <v>1</v>
      </c>
      <c r="AF106">
        <v>4</v>
      </c>
      <c r="AH106">
        <v>0</v>
      </c>
      <c r="AJ106">
        <v>372</v>
      </c>
      <c r="AL106">
        <v>0</v>
      </c>
      <c r="AN106">
        <v>4</v>
      </c>
      <c r="AO106">
        <v>0</v>
      </c>
      <c r="AP106">
        <v>372</v>
      </c>
      <c r="AQ106">
        <v>0</v>
      </c>
      <c r="AR106">
        <v>0.46500000000000002</v>
      </c>
      <c r="AS106">
        <v>1</v>
      </c>
      <c r="AU106">
        <v>0.46500000000000002</v>
      </c>
    </row>
    <row r="107" spans="1:47" x14ac:dyDescent="0.3">
      <c r="A107" t="s">
        <v>188</v>
      </c>
      <c r="B107">
        <v>6559.99946</v>
      </c>
      <c r="C107">
        <v>3.6408000000000003E-2</v>
      </c>
      <c r="D107">
        <v>1506</v>
      </c>
      <c r="E107">
        <v>7248</v>
      </c>
      <c r="F107">
        <v>2E-3</v>
      </c>
      <c r="G107">
        <v>0</v>
      </c>
      <c r="H107">
        <v>46564.999459999999</v>
      </c>
      <c r="I107">
        <v>6559.99946</v>
      </c>
      <c r="J107">
        <v>40005</v>
      </c>
      <c r="K107">
        <v>6559.99946</v>
      </c>
      <c r="L107">
        <v>42.254378000000003</v>
      </c>
      <c r="N107">
        <v>1</v>
      </c>
      <c r="P107">
        <v>46564.999459999999</v>
      </c>
      <c r="Q107">
        <v>46564.999459999999</v>
      </c>
      <c r="S107">
        <v>1</v>
      </c>
      <c r="T107">
        <v>1</v>
      </c>
      <c r="U107">
        <v>1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10.868919</v>
      </c>
      <c r="AC107">
        <v>31.347051</v>
      </c>
      <c r="AE107">
        <v>1</v>
      </c>
      <c r="AF107">
        <v>42</v>
      </c>
      <c r="AH107">
        <v>2</v>
      </c>
      <c r="AJ107">
        <v>230</v>
      </c>
      <c r="AL107">
        <v>18</v>
      </c>
      <c r="AN107">
        <v>42</v>
      </c>
      <c r="AO107">
        <v>2</v>
      </c>
      <c r="AP107">
        <v>230</v>
      </c>
      <c r="AQ107">
        <v>18</v>
      </c>
      <c r="AR107">
        <v>17.556000000000001</v>
      </c>
      <c r="AS107">
        <v>19</v>
      </c>
      <c r="AU107">
        <v>0.92400000000000004</v>
      </c>
    </row>
    <row r="108" spans="1:47" x14ac:dyDescent="0.3">
      <c r="A108" t="s">
        <v>189</v>
      </c>
      <c r="B108">
        <v>6169.9997720000001</v>
      </c>
      <c r="C108">
        <v>3.8474000000000001E-2</v>
      </c>
      <c r="D108">
        <v>1506</v>
      </c>
      <c r="E108">
        <v>7248</v>
      </c>
      <c r="F108">
        <v>2E-3</v>
      </c>
      <c r="G108">
        <v>0</v>
      </c>
      <c r="H108">
        <v>46171.999770000002</v>
      </c>
      <c r="I108">
        <v>6169.9997499999999</v>
      </c>
      <c r="J108">
        <v>40002</v>
      </c>
      <c r="K108">
        <v>6169.9997720000001</v>
      </c>
      <c r="L108">
        <v>55.216311000000005</v>
      </c>
      <c r="N108">
        <v>1</v>
      </c>
      <c r="P108">
        <v>46171.999750000003</v>
      </c>
      <c r="Q108">
        <v>46171.999770000002</v>
      </c>
      <c r="S108">
        <v>1</v>
      </c>
      <c r="T108">
        <v>1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7.5587260000000001</v>
      </c>
      <c r="AC108">
        <v>47.617111000000001</v>
      </c>
      <c r="AE108">
        <v>1</v>
      </c>
      <c r="AF108">
        <v>1690</v>
      </c>
      <c r="AH108">
        <v>13</v>
      </c>
      <c r="AJ108">
        <v>5298</v>
      </c>
      <c r="AL108">
        <v>3</v>
      </c>
      <c r="AN108">
        <v>1690</v>
      </c>
      <c r="AO108">
        <v>13</v>
      </c>
      <c r="AP108">
        <v>5298</v>
      </c>
      <c r="AQ108">
        <v>3</v>
      </c>
      <c r="AR108">
        <v>2.653</v>
      </c>
      <c r="AS108">
        <v>4</v>
      </c>
      <c r="AU108">
        <v>0.66325000000000001</v>
      </c>
    </row>
    <row r="109" spans="1:47" x14ac:dyDescent="0.3">
      <c r="A109" t="s">
        <v>190</v>
      </c>
      <c r="B109">
        <v>6039.9997530000001</v>
      </c>
      <c r="C109">
        <v>3.2919999999999998E-2</v>
      </c>
      <c r="D109">
        <v>1506</v>
      </c>
      <c r="E109">
        <v>7248</v>
      </c>
      <c r="F109">
        <v>2E-3</v>
      </c>
      <c r="G109">
        <v>0</v>
      </c>
      <c r="H109">
        <v>46041.999750000003</v>
      </c>
      <c r="I109">
        <v>6039.9997249999997</v>
      </c>
      <c r="J109">
        <v>40002</v>
      </c>
      <c r="K109">
        <v>6039.9997530000001</v>
      </c>
      <c r="L109">
        <v>276.12783899999999</v>
      </c>
      <c r="N109">
        <v>1</v>
      </c>
      <c r="P109">
        <v>46041.999730000003</v>
      </c>
      <c r="Q109">
        <v>46041.999750000003</v>
      </c>
      <c r="S109">
        <v>1</v>
      </c>
      <c r="T109">
        <v>1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4.4049240000000003</v>
      </c>
      <c r="AC109">
        <v>271.687995</v>
      </c>
      <c r="AE109">
        <v>1</v>
      </c>
      <c r="AF109">
        <v>773</v>
      </c>
      <c r="AH109">
        <v>5</v>
      </c>
      <c r="AJ109">
        <v>3921</v>
      </c>
      <c r="AL109">
        <v>424</v>
      </c>
      <c r="AN109">
        <v>773</v>
      </c>
      <c r="AO109">
        <v>5</v>
      </c>
      <c r="AP109">
        <v>3921</v>
      </c>
      <c r="AQ109">
        <v>424</v>
      </c>
      <c r="AR109">
        <v>241.44900000000001</v>
      </c>
      <c r="AS109">
        <v>425</v>
      </c>
      <c r="AU109">
        <v>0.56811500000000004</v>
      </c>
    </row>
    <row r="110" spans="1:47" x14ac:dyDescent="0.3">
      <c r="A110" t="s">
        <v>191</v>
      </c>
      <c r="B110">
        <v>6149.9995650000001</v>
      </c>
      <c r="C110">
        <v>0.10116700000000001</v>
      </c>
      <c r="D110">
        <v>1482</v>
      </c>
      <c r="E110">
        <v>7137</v>
      </c>
      <c r="F110">
        <v>2E-3</v>
      </c>
      <c r="G110">
        <v>0</v>
      </c>
      <c r="H110">
        <v>56151.99957</v>
      </c>
      <c r="I110">
        <v>6149.9995650000001</v>
      </c>
      <c r="J110">
        <v>50002</v>
      </c>
      <c r="K110">
        <v>6149.9995650000001</v>
      </c>
      <c r="L110">
        <v>115.70505799999999</v>
      </c>
      <c r="N110">
        <v>1</v>
      </c>
      <c r="P110">
        <v>56151.99957</v>
      </c>
      <c r="Q110">
        <v>56151.99957</v>
      </c>
      <c r="S110">
        <v>1</v>
      </c>
      <c r="T110">
        <v>1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43.123075999999998</v>
      </c>
      <c r="AC110">
        <v>72.478814999999997</v>
      </c>
      <c r="AE110">
        <v>1</v>
      </c>
      <c r="AF110">
        <v>218</v>
      </c>
      <c r="AH110">
        <v>12</v>
      </c>
      <c r="AJ110">
        <v>10059</v>
      </c>
      <c r="AL110">
        <v>1</v>
      </c>
      <c r="AN110">
        <v>218</v>
      </c>
      <c r="AO110">
        <v>12</v>
      </c>
      <c r="AP110">
        <v>10059</v>
      </c>
      <c r="AQ110">
        <v>1</v>
      </c>
      <c r="AR110">
        <v>2.06</v>
      </c>
      <c r="AS110">
        <v>3</v>
      </c>
      <c r="AU110">
        <v>0.68666700000000003</v>
      </c>
    </row>
    <row r="111" spans="1:47" x14ac:dyDescent="0.3">
      <c r="A111" t="s">
        <v>192</v>
      </c>
      <c r="B111">
        <v>6159.9997039999998</v>
      </c>
      <c r="C111">
        <v>3.7366999999999997E-2</v>
      </c>
      <c r="D111">
        <v>1780</v>
      </c>
      <c r="E111">
        <v>10308</v>
      </c>
      <c r="F111">
        <v>3.0000000000000001E-3</v>
      </c>
      <c r="G111">
        <v>0</v>
      </c>
      <c r="H111">
        <v>46163.9997</v>
      </c>
      <c r="I111">
        <v>6159.9992659999998</v>
      </c>
      <c r="J111">
        <v>40004</v>
      </c>
      <c r="K111">
        <v>6159.9997039999998</v>
      </c>
      <c r="L111">
        <v>118.328367</v>
      </c>
      <c r="N111">
        <v>1</v>
      </c>
      <c r="P111">
        <v>46163.99927</v>
      </c>
      <c r="Q111">
        <v>46163.9997</v>
      </c>
      <c r="S111">
        <v>1</v>
      </c>
      <c r="T111">
        <v>1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16.131926</v>
      </c>
      <c r="AC111">
        <v>102.156074</v>
      </c>
      <c r="AE111">
        <v>1</v>
      </c>
      <c r="AF111">
        <v>1314</v>
      </c>
      <c r="AH111">
        <v>12</v>
      </c>
      <c r="AJ111">
        <v>17546</v>
      </c>
      <c r="AL111">
        <v>10</v>
      </c>
      <c r="AN111">
        <v>1314</v>
      </c>
      <c r="AO111">
        <v>12</v>
      </c>
      <c r="AP111">
        <v>17546</v>
      </c>
      <c r="AQ111">
        <v>10</v>
      </c>
      <c r="AR111">
        <v>9.1280000000000001</v>
      </c>
      <c r="AS111">
        <v>11</v>
      </c>
      <c r="AU111">
        <v>0.82981799999999994</v>
      </c>
    </row>
    <row r="112" spans="1:47" x14ac:dyDescent="0.3">
      <c r="A112" t="s">
        <v>193</v>
      </c>
      <c r="B112">
        <v>6149.9999850000004</v>
      </c>
      <c r="C112">
        <v>3.4271000000000003E-2</v>
      </c>
      <c r="D112">
        <v>1780</v>
      </c>
      <c r="E112">
        <v>10308</v>
      </c>
      <c r="F112">
        <v>2E-3</v>
      </c>
      <c r="G112">
        <v>0</v>
      </c>
      <c r="H112">
        <v>66150.999989999997</v>
      </c>
      <c r="I112">
        <v>6149.9999129999997</v>
      </c>
      <c r="J112">
        <v>60001</v>
      </c>
      <c r="K112">
        <v>6149.9999850000004</v>
      </c>
      <c r="L112">
        <v>1149.5957060000001</v>
      </c>
      <c r="N112">
        <v>1</v>
      </c>
      <c r="P112">
        <v>66150.999909999999</v>
      </c>
      <c r="Q112">
        <v>66150.999989999997</v>
      </c>
      <c r="S112">
        <v>1</v>
      </c>
      <c r="T112">
        <v>1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746.48103900000001</v>
      </c>
      <c r="AC112">
        <v>403.078396</v>
      </c>
      <c r="AE112">
        <v>1</v>
      </c>
      <c r="AF112">
        <v>9480</v>
      </c>
      <c r="AH112">
        <v>16</v>
      </c>
      <c r="AJ112">
        <v>33513</v>
      </c>
      <c r="AL112">
        <v>130</v>
      </c>
      <c r="AN112">
        <v>9480</v>
      </c>
      <c r="AO112">
        <v>16</v>
      </c>
      <c r="AP112">
        <v>33513</v>
      </c>
      <c r="AQ112">
        <v>130</v>
      </c>
      <c r="AR112">
        <v>70.813999999999993</v>
      </c>
      <c r="AS112">
        <v>131</v>
      </c>
      <c r="AU112">
        <v>0.54056499999999996</v>
      </c>
    </row>
    <row r="113" spans="1:48" x14ac:dyDescent="0.3">
      <c r="A113" t="s">
        <v>194</v>
      </c>
      <c r="B113">
        <v>6169.9993130000003</v>
      </c>
      <c r="C113">
        <v>4.0497999999999999E-2</v>
      </c>
      <c r="D113">
        <v>1780</v>
      </c>
      <c r="E113">
        <v>10308</v>
      </c>
      <c r="F113">
        <v>3.0000000000000001E-3</v>
      </c>
      <c r="G113">
        <v>0</v>
      </c>
      <c r="H113">
        <v>46174.999309999999</v>
      </c>
      <c r="I113">
        <v>6169.9993130000003</v>
      </c>
      <c r="J113">
        <v>40005</v>
      </c>
      <c r="K113">
        <v>6169.9993130000003</v>
      </c>
      <c r="L113">
        <v>379.574319</v>
      </c>
      <c r="N113">
        <v>1</v>
      </c>
      <c r="P113">
        <v>46174.999309999999</v>
      </c>
      <c r="Q113">
        <v>46174.999309999999</v>
      </c>
      <c r="S113">
        <v>1</v>
      </c>
      <c r="T113">
        <v>1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41.047987999999997</v>
      </c>
      <c r="AC113">
        <v>338.48283300000003</v>
      </c>
      <c r="AE113">
        <v>1</v>
      </c>
      <c r="AF113">
        <v>6</v>
      </c>
      <c r="AH113">
        <v>15</v>
      </c>
      <c r="AJ113">
        <v>15708</v>
      </c>
      <c r="AL113">
        <v>542</v>
      </c>
      <c r="AN113">
        <v>6</v>
      </c>
      <c r="AO113">
        <v>15</v>
      </c>
      <c r="AP113">
        <v>15708</v>
      </c>
      <c r="AQ113">
        <v>542</v>
      </c>
      <c r="AR113">
        <v>294.57</v>
      </c>
      <c r="AS113">
        <v>543</v>
      </c>
      <c r="AU113">
        <v>0.54248600000000002</v>
      </c>
    </row>
    <row r="114" spans="1:48" x14ac:dyDescent="0.3">
      <c r="A114" t="s">
        <v>195</v>
      </c>
      <c r="B114">
        <v>6119.9992899999997</v>
      </c>
      <c r="C114">
        <v>3.3756000000000001E-2</v>
      </c>
      <c r="D114">
        <v>1780</v>
      </c>
      <c r="E114">
        <v>10308</v>
      </c>
      <c r="F114">
        <v>3.0000000000000001E-3</v>
      </c>
      <c r="G114">
        <v>0</v>
      </c>
      <c r="H114">
        <v>66120.999290000007</v>
      </c>
      <c r="I114">
        <v>6119.9992229999998</v>
      </c>
      <c r="J114">
        <v>60001</v>
      </c>
      <c r="K114">
        <v>6119.9992899999997</v>
      </c>
      <c r="L114">
        <v>712.64318300000002</v>
      </c>
      <c r="N114">
        <v>1</v>
      </c>
      <c r="P114">
        <v>66120.999219999998</v>
      </c>
      <c r="Q114">
        <v>66120.999290000007</v>
      </c>
      <c r="S114">
        <v>1</v>
      </c>
      <c r="T114">
        <v>1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487.44002</v>
      </c>
      <c r="AC114">
        <v>225.16640699999999</v>
      </c>
      <c r="AE114">
        <v>1</v>
      </c>
      <c r="AF114">
        <v>9515</v>
      </c>
      <c r="AH114">
        <v>9</v>
      </c>
      <c r="AJ114">
        <v>8205</v>
      </c>
      <c r="AL114">
        <v>137</v>
      </c>
      <c r="AN114">
        <v>9515</v>
      </c>
      <c r="AO114">
        <v>9</v>
      </c>
      <c r="AP114">
        <v>8205</v>
      </c>
      <c r="AQ114">
        <v>137</v>
      </c>
      <c r="AR114">
        <v>130.46899999999999</v>
      </c>
      <c r="AS114">
        <v>138</v>
      </c>
      <c r="AU114">
        <v>0.94542800000000005</v>
      </c>
    </row>
    <row r="115" spans="1:48" x14ac:dyDescent="0.3">
      <c r="A115" t="s">
        <v>196</v>
      </c>
      <c r="B115">
        <v>6159.9995200000003</v>
      </c>
      <c r="C115">
        <v>3.3891999999999999E-2</v>
      </c>
      <c r="D115">
        <v>1482</v>
      </c>
      <c r="E115">
        <v>7137</v>
      </c>
      <c r="F115">
        <v>2E-3</v>
      </c>
      <c r="G115">
        <v>0</v>
      </c>
      <c r="H115">
        <v>56160.999519999998</v>
      </c>
      <c r="I115">
        <v>6159.9996149999997</v>
      </c>
      <c r="J115">
        <v>50001</v>
      </c>
      <c r="K115">
        <v>6159.9995200000003</v>
      </c>
      <c r="L115">
        <v>649.99663899999996</v>
      </c>
      <c r="N115">
        <v>1</v>
      </c>
      <c r="P115">
        <v>56160.999620000002</v>
      </c>
      <c r="Q115">
        <v>56160.999519999998</v>
      </c>
      <c r="S115">
        <v>1</v>
      </c>
      <c r="T115">
        <v>1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254.135851</v>
      </c>
      <c r="AC115">
        <v>395.82489600000002</v>
      </c>
      <c r="AE115">
        <v>1</v>
      </c>
      <c r="AF115">
        <v>7600</v>
      </c>
      <c r="AH115">
        <v>30</v>
      </c>
      <c r="AJ115">
        <v>38982</v>
      </c>
      <c r="AL115">
        <v>48</v>
      </c>
      <c r="AN115">
        <v>7600</v>
      </c>
      <c r="AO115">
        <v>30</v>
      </c>
      <c r="AP115">
        <v>38982</v>
      </c>
      <c r="AQ115">
        <v>48</v>
      </c>
      <c r="AR115">
        <v>36.523000000000003</v>
      </c>
      <c r="AS115">
        <v>51</v>
      </c>
      <c r="AU115">
        <v>0.71613700000000002</v>
      </c>
    </row>
    <row r="116" spans="1:48" x14ac:dyDescent="0.3">
      <c r="A116" t="s">
        <v>197</v>
      </c>
      <c r="B116">
        <v>6539.999992</v>
      </c>
      <c r="C116">
        <v>3.7673999999999999E-2</v>
      </c>
      <c r="D116">
        <v>1780</v>
      </c>
      <c r="E116">
        <v>10308</v>
      </c>
      <c r="F116">
        <v>3.0000000000000001E-3</v>
      </c>
      <c r="G116">
        <v>0</v>
      </c>
      <c r="H116">
        <v>56541.999989999997</v>
      </c>
      <c r="I116">
        <v>6539.999992</v>
      </c>
      <c r="J116">
        <v>50002</v>
      </c>
      <c r="K116">
        <v>6539.999992</v>
      </c>
      <c r="L116">
        <v>809.142608</v>
      </c>
      <c r="N116">
        <v>1</v>
      </c>
      <c r="P116">
        <v>56541.999989999997</v>
      </c>
      <c r="Q116">
        <v>56541.999989999997</v>
      </c>
      <c r="S116">
        <v>1</v>
      </c>
      <c r="T116">
        <v>1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686.70735300000001</v>
      </c>
      <c r="AC116">
        <v>122.394581</v>
      </c>
      <c r="AE116">
        <v>1</v>
      </c>
      <c r="AF116">
        <v>8</v>
      </c>
      <c r="AH116">
        <v>3</v>
      </c>
      <c r="AJ116">
        <v>2477</v>
      </c>
      <c r="AL116">
        <v>89</v>
      </c>
      <c r="AN116">
        <v>8</v>
      </c>
      <c r="AO116">
        <v>3</v>
      </c>
      <c r="AP116">
        <v>2477</v>
      </c>
      <c r="AQ116">
        <v>89</v>
      </c>
      <c r="AR116">
        <v>104.97199999999999</v>
      </c>
      <c r="AS116">
        <v>90</v>
      </c>
      <c r="AU116">
        <v>1.1663559999999999</v>
      </c>
    </row>
    <row r="117" spans="1:48" s="1" customFormat="1" x14ac:dyDescent="0.3">
      <c r="A117" s="1" t="s">
        <v>198</v>
      </c>
      <c r="B117" s="1">
        <v>6159.9994360000001</v>
      </c>
      <c r="C117" s="1">
        <v>3.5203999999999999E-2</v>
      </c>
      <c r="D117" s="1">
        <v>1780</v>
      </c>
      <c r="E117" s="1">
        <v>10308</v>
      </c>
      <c r="F117" s="1">
        <v>3.0000000000000001E-3</v>
      </c>
      <c r="G117" s="1">
        <v>0</v>
      </c>
      <c r="H117" s="1">
        <v>56160.99944</v>
      </c>
      <c r="I117" s="1">
        <v>6159.9995939999999</v>
      </c>
      <c r="J117" s="1">
        <v>50001</v>
      </c>
      <c r="K117" s="1">
        <v>6159.9994360000001</v>
      </c>
      <c r="L117" s="1">
        <v>1980.19643</v>
      </c>
      <c r="N117" s="1">
        <v>1</v>
      </c>
      <c r="P117" s="1">
        <v>56160.999589999999</v>
      </c>
      <c r="Q117" s="1">
        <v>56160.99944</v>
      </c>
      <c r="S117" s="1">
        <v>1</v>
      </c>
      <c r="T117" s="1">
        <v>1</v>
      </c>
      <c r="U117" s="1">
        <v>1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1874.4666239999999</v>
      </c>
      <c r="AC117" s="1">
        <v>105.691602</v>
      </c>
      <c r="AE117" s="1">
        <v>1</v>
      </c>
      <c r="AF117" s="1">
        <v>37</v>
      </c>
      <c r="AH117" s="1">
        <v>1</v>
      </c>
      <c r="AJ117" s="1">
        <v>1548</v>
      </c>
      <c r="AL117" s="1">
        <v>140</v>
      </c>
      <c r="AN117" s="1">
        <v>37</v>
      </c>
      <c r="AO117" s="1">
        <v>1</v>
      </c>
      <c r="AP117" s="1">
        <v>1548</v>
      </c>
      <c r="AQ117" s="1">
        <v>140</v>
      </c>
      <c r="AR117" s="1">
        <v>86.796000000000006</v>
      </c>
      <c r="AS117" s="1">
        <v>141</v>
      </c>
      <c r="AU117" s="1">
        <v>0.61557399999999995</v>
      </c>
    </row>
    <row r="118" spans="1:48" x14ac:dyDescent="0.3">
      <c r="A118" t="s">
        <v>138</v>
      </c>
      <c r="B118">
        <v>8000.0008760000001</v>
      </c>
      <c r="C118">
        <v>4.8801999999999998E-2</v>
      </c>
      <c r="D118">
        <v>2268</v>
      </c>
      <c r="E118">
        <v>13212</v>
      </c>
      <c r="F118">
        <v>4.0000000000000001E-3</v>
      </c>
      <c r="G118">
        <v>0</v>
      </c>
      <c r="H118">
        <v>78002.000880000007</v>
      </c>
      <c r="I118">
        <v>8000.0003889999998</v>
      </c>
      <c r="J118">
        <v>70002</v>
      </c>
      <c r="K118">
        <v>8000.0008760000001</v>
      </c>
      <c r="L118">
        <v>186.136526</v>
      </c>
      <c r="M118">
        <v>1195.4887666249999</v>
      </c>
      <c r="N118">
        <v>1</v>
      </c>
      <c r="O118">
        <f>AVERAGE(N118:N141)</f>
        <v>1</v>
      </c>
      <c r="P118">
        <v>78002.000390000001</v>
      </c>
      <c r="Q118">
        <v>78002.000880000007</v>
      </c>
      <c r="R118">
        <f>SUM(S118:S141)</f>
        <v>24</v>
      </c>
      <c r="S118">
        <v>1</v>
      </c>
      <c r="T118">
        <v>1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119.45859400000001</v>
      </c>
      <c r="AB118">
        <v>498.99737899999997</v>
      </c>
      <c r="AC118">
        <v>66.625129999999999</v>
      </c>
      <c r="AD118">
        <v>696.42485916666681</v>
      </c>
      <c r="AE118">
        <v>1</v>
      </c>
      <c r="AF118">
        <v>132</v>
      </c>
      <c r="AG118">
        <f>AVERAGE(AF118:AF141)</f>
        <v>3662.3333333333335</v>
      </c>
      <c r="AH118">
        <v>24</v>
      </c>
      <c r="AI118">
        <f>AVERAGE(AH118:AH141)</f>
        <v>30.041666666666668</v>
      </c>
      <c r="AJ118">
        <v>5407</v>
      </c>
      <c r="AK118">
        <f>AVERAGE(AJ118:AJ141)</f>
        <v>39955.375</v>
      </c>
      <c r="AL118">
        <v>0</v>
      </c>
      <c r="AM118">
        <f>AVERAGE(AL118:AL141)</f>
        <v>207.95833333333334</v>
      </c>
      <c r="AN118">
        <v>132</v>
      </c>
      <c r="AO118">
        <v>24</v>
      </c>
      <c r="AP118">
        <v>5407</v>
      </c>
      <c r="AQ118">
        <v>0</v>
      </c>
      <c r="AR118">
        <v>1.026</v>
      </c>
      <c r="AS118">
        <v>1</v>
      </c>
      <c r="AT118">
        <f>AVERAGE(AS118:AS141)</f>
        <v>210.08333333333334</v>
      </c>
      <c r="AU118">
        <v>1.026</v>
      </c>
      <c r="AV118">
        <f>AVERAGE(AU118:AU141)</f>
        <v>1.7514897916666661</v>
      </c>
    </row>
    <row r="119" spans="1:48" x14ac:dyDescent="0.3">
      <c r="A119" t="s">
        <v>139</v>
      </c>
      <c r="B119">
        <v>7725.9996529999999</v>
      </c>
      <c r="C119">
        <v>3.3925999999999998E-2</v>
      </c>
      <c r="D119">
        <v>1920</v>
      </c>
      <c r="E119">
        <v>9294</v>
      </c>
      <c r="F119">
        <v>3.0000000000000001E-3</v>
      </c>
      <c r="G119">
        <v>0</v>
      </c>
      <c r="H119">
        <v>57732.999649999998</v>
      </c>
      <c r="I119">
        <v>7725.9995390000004</v>
      </c>
      <c r="J119">
        <v>50007</v>
      </c>
      <c r="K119">
        <v>7725.9996529999999</v>
      </c>
      <c r="L119">
        <v>227.61755499999998</v>
      </c>
      <c r="N119">
        <v>1</v>
      </c>
      <c r="P119">
        <v>57732.999539999997</v>
      </c>
      <c r="Q119">
        <v>57732.999649999998</v>
      </c>
      <c r="S119">
        <v>1</v>
      </c>
      <c r="T119">
        <v>1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57.336965999999997</v>
      </c>
      <c r="AC119">
        <v>170.243663</v>
      </c>
      <c r="AE119">
        <v>1</v>
      </c>
      <c r="AF119">
        <v>2410</v>
      </c>
      <c r="AH119">
        <v>26</v>
      </c>
      <c r="AJ119">
        <v>19820</v>
      </c>
      <c r="AL119">
        <v>21</v>
      </c>
      <c r="AN119">
        <v>2410</v>
      </c>
      <c r="AO119">
        <v>26</v>
      </c>
      <c r="AP119">
        <v>19820</v>
      </c>
      <c r="AQ119">
        <v>21</v>
      </c>
      <c r="AR119">
        <v>29.245999999999999</v>
      </c>
      <c r="AS119">
        <v>23</v>
      </c>
      <c r="AU119">
        <v>1.2715650000000001</v>
      </c>
    </row>
    <row r="120" spans="1:48" x14ac:dyDescent="0.3">
      <c r="A120" t="s">
        <v>140</v>
      </c>
      <c r="B120">
        <v>7725.9994509999997</v>
      </c>
      <c r="C120">
        <v>4.2778999999999998E-2</v>
      </c>
      <c r="D120">
        <v>1920</v>
      </c>
      <c r="E120">
        <v>9294</v>
      </c>
      <c r="F120">
        <v>2E-3</v>
      </c>
      <c r="G120">
        <v>0</v>
      </c>
      <c r="H120">
        <v>57728.999450000003</v>
      </c>
      <c r="I120">
        <v>7725.9994390000002</v>
      </c>
      <c r="J120">
        <v>50003</v>
      </c>
      <c r="K120">
        <v>7725.9994509999997</v>
      </c>
      <c r="L120">
        <v>295.33096600000005</v>
      </c>
      <c r="N120">
        <v>1</v>
      </c>
      <c r="P120">
        <v>57728.99944</v>
      </c>
      <c r="Q120">
        <v>57728.999450000003</v>
      </c>
      <c r="S120">
        <v>1</v>
      </c>
      <c r="T120">
        <v>1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5.8603139999999998</v>
      </c>
      <c r="AC120">
        <v>289.42587300000002</v>
      </c>
      <c r="AE120">
        <v>1</v>
      </c>
      <c r="AF120">
        <v>249</v>
      </c>
      <c r="AH120">
        <v>37</v>
      </c>
      <c r="AJ120">
        <v>37915</v>
      </c>
      <c r="AL120">
        <v>31</v>
      </c>
      <c r="AN120">
        <v>249</v>
      </c>
      <c r="AO120">
        <v>37</v>
      </c>
      <c r="AP120">
        <v>37915</v>
      </c>
      <c r="AQ120">
        <v>31</v>
      </c>
      <c r="AR120">
        <v>49.945</v>
      </c>
      <c r="AS120">
        <v>35</v>
      </c>
      <c r="AU120">
        <v>1.427</v>
      </c>
    </row>
    <row r="121" spans="1:48" x14ac:dyDescent="0.3">
      <c r="A121" t="s">
        <v>141</v>
      </c>
      <c r="B121">
        <v>7758.0003379999998</v>
      </c>
      <c r="C121">
        <v>4.6526999999999999E-2</v>
      </c>
      <c r="D121">
        <v>1889</v>
      </c>
      <c r="E121">
        <v>9150</v>
      </c>
      <c r="F121">
        <v>2E-3</v>
      </c>
      <c r="G121">
        <v>0</v>
      </c>
      <c r="H121">
        <v>67762.000339999999</v>
      </c>
      <c r="I121">
        <v>7758.0003379999998</v>
      </c>
      <c r="J121">
        <v>60004</v>
      </c>
      <c r="K121">
        <v>7758.0003379999998</v>
      </c>
      <c r="L121">
        <v>297.48644000000002</v>
      </c>
      <c r="N121">
        <v>1</v>
      </c>
      <c r="P121">
        <v>67762.000339999999</v>
      </c>
      <c r="Q121">
        <v>67762.000339999999</v>
      </c>
      <c r="S121">
        <v>1</v>
      </c>
      <c r="T121">
        <v>1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59.621335999999999</v>
      </c>
      <c r="AC121">
        <v>237.816577</v>
      </c>
      <c r="AE121">
        <v>1</v>
      </c>
      <c r="AF121">
        <v>11124</v>
      </c>
      <c r="AH121">
        <v>38</v>
      </c>
      <c r="AJ121">
        <v>17574</v>
      </c>
      <c r="AL121">
        <v>29</v>
      </c>
      <c r="AN121">
        <v>11124</v>
      </c>
      <c r="AO121">
        <v>38</v>
      </c>
      <c r="AP121">
        <v>17574</v>
      </c>
      <c r="AQ121">
        <v>29</v>
      </c>
      <c r="AR121">
        <v>39.435000000000002</v>
      </c>
      <c r="AS121">
        <v>32</v>
      </c>
      <c r="AU121">
        <v>1.2323440000000001</v>
      </c>
    </row>
    <row r="122" spans="1:48" x14ac:dyDescent="0.3">
      <c r="A122" t="s">
        <v>142</v>
      </c>
      <c r="B122">
        <v>7783.9998189999997</v>
      </c>
      <c r="C122">
        <v>5.1240000000000001E-2</v>
      </c>
      <c r="D122">
        <v>2268</v>
      </c>
      <c r="E122">
        <v>13212</v>
      </c>
      <c r="F122">
        <v>4.0000000000000001E-3</v>
      </c>
      <c r="G122">
        <v>0</v>
      </c>
      <c r="H122">
        <v>57787.999819999997</v>
      </c>
      <c r="I122">
        <v>7783.9998189999997</v>
      </c>
      <c r="J122">
        <v>50004</v>
      </c>
      <c r="K122">
        <v>7783.9998189999997</v>
      </c>
      <c r="L122">
        <v>204.74113800000001</v>
      </c>
      <c r="N122">
        <v>1</v>
      </c>
      <c r="P122">
        <v>57787.999819999997</v>
      </c>
      <c r="Q122">
        <v>57787.999819999997</v>
      </c>
      <c r="S122">
        <v>1</v>
      </c>
      <c r="T122">
        <v>1</v>
      </c>
      <c r="U122">
        <v>1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20.135403</v>
      </c>
      <c r="AC122">
        <v>184.55049500000001</v>
      </c>
      <c r="AE122">
        <v>1</v>
      </c>
      <c r="AF122">
        <v>87</v>
      </c>
      <c r="AH122">
        <v>25</v>
      </c>
      <c r="AJ122">
        <v>52498</v>
      </c>
      <c r="AL122">
        <v>30</v>
      </c>
      <c r="AN122">
        <v>87</v>
      </c>
      <c r="AO122">
        <v>25</v>
      </c>
      <c r="AP122">
        <v>52498</v>
      </c>
      <c r="AQ122">
        <v>30</v>
      </c>
      <c r="AR122">
        <v>38.46</v>
      </c>
      <c r="AS122">
        <v>31</v>
      </c>
      <c r="AU122">
        <v>1.240645</v>
      </c>
    </row>
    <row r="123" spans="1:48" x14ac:dyDescent="0.3">
      <c r="A123" t="s">
        <v>143</v>
      </c>
      <c r="B123">
        <v>8160.0005810000002</v>
      </c>
      <c r="C123">
        <v>6.6833000000000004E-2</v>
      </c>
      <c r="D123">
        <v>1896</v>
      </c>
      <c r="E123">
        <v>9214</v>
      </c>
      <c r="F123">
        <v>3.0000000000000001E-3</v>
      </c>
      <c r="G123">
        <v>0</v>
      </c>
      <c r="H123">
        <v>68162.000580000007</v>
      </c>
      <c r="I123">
        <v>8160.0005810000002</v>
      </c>
      <c r="J123">
        <v>60002</v>
      </c>
      <c r="K123">
        <v>8160.0005810000002</v>
      </c>
      <c r="L123">
        <v>126.02106499999999</v>
      </c>
      <c r="N123">
        <v>1</v>
      </c>
      <c r="P123">
        <v>68162.000580000007</v>
      </c>
      <c r="Q123">
        <v>68162.000580000007</v>
      </c>
      <c r="S123">
        <v>1</v>
      </c>
      <c r="T123">
        <v>1</v>
      </c>
      <c r="U123">
        <v>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15.730483</v>
      </c>
      <c r="AC123">
        <v>110.220749</v>
      </c>
      <c r="AE123">
        <v>1</v>
      </c>
      <c r="AF123">
        <v>769</v>
      </c>
      <c r="AH123">
        <v>24</v>
      </c>
      <c r="AJ123">
        <v>28598</v>
      </c>
      <c r="AL123">
        <v>3</v>
      </c>
      <c r="AN123">
        <v>769</v>
      </c>
      <c r="AO123">
        <v>24</v>
      </c>
      <c r="AP123">
        <v>28598</v>
      </c>
      <c r="AQ123">
        <v>3</v>
      </c>
      <c r="AR123">
        <v>6.1989999999999998</v>
      </c>
      <c r="AS123">
        <v>4</v>
      </c>
      <c r="AU123">
        <v>1.54975</v>
      </c>
    </row>
    <row r="124" spans="1:48" x14ac:dyDescent="0.3">
      <c r="A124" t="s">
        <v>144</v>
      </c>
      <c r="B124">
        <v>7730.0009010000003</v>
      </c>
      <c r="C124">
        <v>6.2761999999999998E-2</v>
      </c>
      <c r="D124">
        <v>2268</v>
      </c>
      <c r="E124">
        <v>13212</v>
      </c>
      <c r="F124">
        <v>4.0000000000000001E-3</v>
      </c>
      <c r="G124">
        <v>0</v>
      </c>
      <c r="H124">
        <v>57734.000899999999</v>
      </c>
      <c r="I124">
        <v>7730.0000099999997</v>
      </c>
      <c r="J124">
        <v>50004</v>
      </c>
      <c r="K124">
        <v>7730.0009010000003</v>
      </c>
      <c r="L124">
        <v>599.29169999999999</v>
      </c>
      <c r="N124">
        <v>1</v>
      </c>
      <c r="P124">
        <v>57734.000010000003</v>
      </c>
      <c r="Q124">
        <v>57734.000899999999</v>
      </c>
      <c r="S124">
        <v>1</v>
      </c>
      <c r="T124">
        <v>1</v>
      </c>
      <c r="U124">
        <v>1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170.42968300000001</v>
      </c>
      <c r="AC124">
        <v>428.795255</v>
      </c>
      <c r="AE124">
        <v>1</v>
      </c>
      <c r="AF124">
        <v>1419</v>
      </c>
      <c r="AH124">
        <v>35</v>
      </c>
      <c r="AJ124">
        <v>47212</v>
      </c>
      <c r="AL124">
        <v>16</v>
      </c>
      <c r="AN124">
        <v>1419</v>
      </c>
      <c r="AO124">
        <v>35</v>
      </c>
      <c r="AP124">
        <v>47212</v>
      </c>
      <c r="AQ124">
        <v>16</v>
      </c>
      <c r="AR124">
        <v>27.806000000000001</v>
      </c>
      <c r="AS124">
        <v>19</v>
      </c>
      <c r="AU124">
        <v>1.4634739999999999</v>
      </c>
    </row>
    <row r="125" spans="1:48" x14ac:dyDescent="0.3">
      <c r="A125" t="s">
        <v>145</v>
      </c>
      <c r="B125">
        <v>8215.9998599999999</v>
      </c>
      <c r="C125">
        <v>7.4109999999999995E-2</v>
      </c>
      <c r="D125">
        <v>2268</v>
      </c>
      <c r="E125">
        <v>13212</v>
      </c>
      <c r="F125">
        <v>3.0000000000000001E-3</v>
      </c>
      <c r="G125">
        <v>0</v>
      </c>
      <c r="H125">
        <v>58217.999860000004</v>
      </c>
      <c r="I125">
        <v>8215.9998599999999</v>
      </c>
      <c r="J125">
        <v>50002</v>
      </c>
      <c r="K125">
        <v>8215.9998599999999</v>
      </c>
      <c r="L125">
        <v>207.697754</v>
      </c>
      <c r="N125">
        <v>1</v>
      </c>
      <c r="P125">
        <v>58217.999860000004</v>
      </c>
      <c r="Q125">
        <v>58217.999860000004</v>
      </c>
      <c r="S125">
        <v>1</v>
      </c>
      <c r="T125">
        <v>1</v>
      </c>
      <c r="U125">
        <v>1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101.96446299999999</v>
      </c>
      <c r="AC125">
        <v>105.656181</v>
      </c>
      <c r="AE125">
        <v>1</v>
      </c>
      <c r="AF125">
        <v>2899</v>
      </c>
      <c r="AH125">
        <v>11</v>
      </c>
      <c r="AJ125">
        <v>5190</v>
      </c>
      <c r="AL125">
        <v>5</v>
      </c>
      <c r="AN125">
        <v>2899</v>
      </c>
      <c r="AO125">
        <v>11</v>
      </c>
      <c r="AP125">
        <v>5190</v>
      </c>
      <c r="AQ125">
        <v>5</v>
      </c>
      <c r="AR125">
        <v>9.76</v>
      </c>
      <c r="AS125">
        <v>7</v>
      </c>
      <c r="AU125">
        <v>1.3942859999999999</v>
      </c>
    </row>
    <row r="126" spans="1:48" x14ac:dyDescent="0.3">
      <c r="A126" t="s">
        <v>146</v>
      </c>
      <c r="B126">
        <v>7349.9996330000004</v>
      </c>
      <c r="C126">
        <v>3.6613E-2</v>
      </c>
      <c r="D126">
        <v>2268</v>
      </c>
      <c r="E126">
        <v>13212</v>
      </c>
      <c r="F126">
        <v>3.0000000000000001E-3</v>
      </c>
      <c r="G126">
        <v>0</v>
      </c>
      <c r="H126">
        <v>67352.999630000006</v>
      </c>
      <c r="I126">
        <v>7349.9996920000003</v>
      </c>
      <c r="J126">
        <v>60003</v>
      </c>
      <c r="K126">
        <v>7349.9996330000004</v>
      </c>
      <c r="L126">
        <v>823.67694800000004</v>
      </c>
      <c r="N126">
        <v>1</v>
      </c>
      <c r="P126">
        <v>67352.999689999997</v>
      </c>
      <c r="Q126">
        <v>67352.999630000006</v>
      </c>
      <c r="S126">
        <v>1</v>
      </c>
      <c r="T126">
        <v>1</v>
      </c>
      <c r="U126">
        <v>1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195.312715</v>
      </c>
      <c r="AC126">
        <v>628.32461999999998</v>
      </c>
      <c r="AE126">
        <v>1</v>
      </c>
      <c r="AF126">
        <v>1897</v>
      </c>
      <c r="AH126">
        <v>32</v>
      </c>
      <c r="AJ126">
        <v>48999</v>
      </c>
      <c r="AL126">
        <v>155</v>
      </c>
      <c r="AN126">
        <v>1897</v>
      </c>
      <c r="AO126">
        <v>32</v>
      </c>
      <c r="AP126">
        <v>48999</v>
      </c>
      <c r="AQ126">
        <v>155</v>
      </c>
      <c r="AR126">
        <v>246.923</v>
      </c>
      <c r="AS126">
        <v>159</v>
      </c>
      <c r="AU126">
        <v>1.552975</v>
      </c>
    </row>
    <row r="127" spans="1:48" x14ac:dyDescent="0.3">
      <c r="A127" t="s">
        <v>147</v>
      </c>
      <c r="B127">
        <v>8050.0001609999999</v>
      </c>
      <c r="C127">
        <v>5.2694999999999999E-2</v>
      </c>
      <c r="D127">
        <v>2268</v>
      </c>
      <c r="E127">
        <v>13212</v>
      </c>
      <c r="F127">
        <v>3.0000000000000001E-3</v>
      </c>
      <c r="G127">
        <v>0</v>
      </c>
      <c r="H127">
        <v>68052.000159999996</v>
      </c>
      <c r="I127">
        <v>8050.0005419999998</v>
      </c>
      <c r="J127">
        <v>60002</v>
      </c>
      <c r="K127">
        <v>8050.0001609999999</v>
      </c>
      <c r="L127">
        <v>467.96295300000003</v>
      </c>
      <c r="N127">
        <v>1</v>
      </c>
      <c r="P127">
        <v>68052.000539999994</v>
      </c>
      <c r="Q127">
        <v>68052.000159999996</v>
      </c>
      <c r="S127">
        <v>1</v>
      </c>
      <c r="T127">
        <v>1</v>
      </c>
      <c r="U127">
        <v>1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304.39267100000001</v>
      </c>
      <c r="AC127">
        <v>163.51458700000001</v>
      </c>
      <c r="AE127">
        <v>1</v>
      </c>
      <c r="AF127">
        <v>349</v>
      </c>
      <c r="AH127">
        <v>29</v>
      </c>
      <c r="AJ127">
        <v>19138</v>
      </c>
      <c r="AL127">
        <v>11</v>
      </c>
      <c r="AN127">
        <v>349</v>
      </c>
      <c r="AO127">
        <v>29</v>
      </c>
      <c r="AP127">
        <v>19138</v>
      </c>
      <c r="AQ127">
        <v>11</v>
      </c>
      <c r="AR127">
        <v>23.128</v>
      </c>
      <c r="AS127">
        <v>15</v>
      </c>
      <c r="AU127">
        <v>1.5418670000000001</v>
      </c>
    </row>
    <row r="128" spans="1:48" x14ac:dyDescent="0.3">
      <c r="A128" t="s">
        <v>148</v>
      </c>
      <c r="B128">
        <v>7855.9985070000002</v>
      </c>
      <c r="C128">
        <v>3.1438000000000001E-2</v>
      </c>
      <c r="D128">
        <v>2268</v>
      </c>
      <c r="E128">
        <v>13212</v>
      </c>
      <c r="F128">
        <v>3.0000000000000001E-3</v>
      </c>
      <c r="G128">
        <v>0</v>
      </c>
      <c r="H128">
        <v>57860.998509999998</v>
      </c>
      <c r="I128">
        <v>7855.9985070000002</v>
      </c>
      <c r="J128">
        <v>50005</v>
      </c>
      <c r="K128">
        <v>7855.9985070000002</v>
      </c>
      <c r="L128">
        <v>509.86535800000001</v>
      </c>
      <c r="N128">
        <v>1</v>
      </c>
      <c r="P128">
        <v>57860.998509999998</v>
      </c>
      <c r="Q128">
        <v>57860.998509999998</v>
      </c>
      <c r="S128">
        <v>1</v>
      </c>
      <c r="T128">
        <v>1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346.37800900000002</v>
      </c>
      <c r="AC128">
        <v>163.452911</v>
      </c>
      <c r="AE128">
        <v>1</v>
      </c>
      <c r="AF128">
        <v>173</v>
      </c>
      <c r="AH128">
        <v>18</v>
      </c>
      <c r="AJ128">
        <v>7944</v>
      </c>
      <c r="AL128">
        <v>17</v>
      </c>
      <c r="AN128">
        <v>173</v>
      </c>
      <c r="AO128">
        <v>18</v>
      </c>
      <c r="AP128">
        <v>7944</v>
      </c>
      <c r="AQ128">
        <v>17</v>
      </c>
      <c r="AR128">
        <v>31.123000000000001</v>
      </c>
      <c r="AS128">
        <v>19</v>
      </c>
      <c r="AU128">
        <v>1.638053</v>
      </c>
    </row>
    <row r="129" spans="1:48" x14ac:dyDescent="0.3">
      <c r="A129" t="s">
        <v>149</v>
      </c>
      <c r="B129">
        <v>7872.0010519999996</v>
      </c>
      <c r="C129">
        <v>4.1985000000000001E-2</v>
      </c>
      <c r="D129">
        <v>1920</v>
      </c>
      <c r="E129">
        <v>9294</v>
      </c>
      <c r="F129">
        <v>3.0000000000000001E-3</v>
      </c>
      <c r="G129">
        <v>0</v>
      </c>
      <c r="H129">
        <v>57878.001049999999</v>
      </c>
      <c r="I129">
        <v>7872.0006700000004</v>
      </c>
      <c r="J129">
        <v>50006</v>
      </c>
      <c r="K129">
        <v>7872.0010519999996</v>
      </c>
      <c r="L129">
        <v>593.82555400000001</v>
      </c>
      <c r="N129">
        <v>1</v>
      </c>
      <c r="P129">
        <v>57878.000670000001</v>
      </c>
      <c r="Q129">
        <v>57878.001049999999</v>
      </c>
      <c r="S129">
        <v>1</v>
      </c>
      <c r="T129">
        <v>1</v>
      </c>
      <c r="U129">
        <v>1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120.344342</v>
      </c>
      <c r="AC129">
        <v>473.43622699999997</v>
      </c>
      <c r="AE129">
        <v>1</v>
      </c>
      <c r="AF129">
        <v>5258</v>
      </c>
      <c r="AH129">
        <v>44</v>
      </c>
      <c r="AJ129">
        <v>38432</v>
      </c>
      <c r="AL129">
        <v>102</v>
      </c>
      <c r="AN129">
        <v>5258</v>
      </c>
      <c r="AO129">
        <v>44</v>
      </c>
      <c r="AP129">
        <v>38432</v>
      </c>
      <c r="AQ129">
        <v>102</v>
      </c>
      <c r="AR129">
        <v>152.232</v>
      </c>
      <c r="AS129">
        <v>105</v>
      </c>
      <c r="AU129">
        <v>1.449829</v>
      </c>
    </row>
    <row r="130" spans="1:48" x14ac:dyDescent="0.3">
      <c r="A130" t="s">
        <v>150</v>
      </c>
      <c r="B130">
        <v>7711.9999109999999</v>
      </c>
      <c r="C130">
        <v>3.0227E-2</v>
      </c>
      <c r="D130">
        <v>2268</v>
      </c>
      <c r="E130">
        <v>13212</v>
      </c>
      <c r="F130">
        <v>3.0000000000000001E-3</v>
      </c>
      <c r="G130">
        <v>0</v>
      </c>
      <c r="H130">
        <v>77712.999909999999</v>
      </c>
      <c r="I130">
        <v>7712.000599</v>
      </c>
      <c r="J130">
        <v>70001</v>
      </c>
      <c r="K130">
        <v>7711.9999109999999</v>
      </c>
      <c r="L130">
        <v>834.25890000000004</v>
      </c>
      <c r="N130">
        <v>1</v>
      </c>
      <c r="P130">
        <v>77713.000599999999</v>
      </c>
      <c r="Q130">
        <v>77712.999909999999</v>
      </c>
      <c r="S130">
        <v>1</v>
      </c>
      <c r="T130">
        <v>1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354.76532500000002</v>
      </c>
      <c r="AC130">
        <v>479.46034800000001</v>
      </c>
      <c r="AE130">
        <v>1</v>
      </c>
      <c r="AF130">
        <v>7104</v>
      </c>
      <c r="AH130">
        <v>45</v>
      </c>
      <c r="AJ130">
        <v>60905</v>
      </c>
      <c r="AL130">
        <v>76</v>
      </c>
      <c r="AN130">
        <v>7104</v>
      </c>
      <c r="AO130">
        <v>45</v>
      </c>
      <c r="AP130">
        <v>60905</v>
      </c>
      <c r="AQ130">
        <v>76</v>
      </c>
      <c r="AR130">
        <v>92.98</v>
      </c>
      <c r="AS130">
        <v>77</v>
      </c>
      <c r="AU130">
        <v>1.207532</v>
      </c>
    </row>
    <row r="131" spans="1:48" x14ac:dyDescent="0.3">
      <c r="A131" t="s">
        <v>151</v>
      </c>
      <c r="B131">
        <v>7730.0009010000003</v>
      </c>
      <c r="C131">
        <v>8.9710999999999999E-2</v>
      </c>
      <c r="D131">
        <v>1920</v>
      </c>
      <c r="E131">
        <v>9294</v>
      </c>
      <c r="F131">
        <v>2E-3</v>
      </c>
      <c r="G131">
        <v>0</v>
      </c>
      <c r="H131">
        <v>57733.000899999999</v>
      </c>
      <c r="I131">
        <v>7730.0008099999995</v>
      </c>
      <c r="J131">
        <v>50003</v>
      </c>
      <c r="K131">
        <v>7730.0009010000003</v>
      </c>
      <c r="L131">
        <v>678.67516799999999</v>
      </c>
      <c r="N131">
        <v>1</v>
      </c>
      <c r="P131">
        <v>57733.000809999998</v>
      </c>
      <c r="Q131">
        <v>57733.000899999999</v>
      </c>
      <c r="S131">
        <v>1</v>
      </c>
      <c r="T131">
        <v>1</v>
      </c>
      <c r="U131">
        <v>1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203.93434600000001</v>
      </c>
      <c r="AC131">
        <v>474.649111</v>
      </c>
      <c r="AE131">
        <v>1</v>
      </c>
      <c r="AF131">
        <v>1507</v>
      </c>
      <c r="AH131">
        <v>31</v>
      </c>
      <c r="AJ131">
        <v>16516</v>
      </c>
      <c r="AL131">
        <v>179</v>
      </c>
      <c r="AN131">
        <v>1507</v>
      </c>
      <c r="AO131">
        <v>31</v>
      </c>
      <c r="AP131">
        <v>16516</v>
      </c>
      <c r="AQ131">
        <v>179</v>
      </c>
      <c r="AR131">
        <v>299.07499999999999</v>
      </c>
      <c r="AS131">
        <v>183</v>
      </c>
      <c r="AU131">
        <v>1.63429</v>
      </c>
    </row>
    <row r="132" spans="1:48" x14ac:dyDescent="0.3">
      <c r="A132" t="s">
        <v>152</v>
      </c>
      <c r="B132">
        <v>7737.9989150000001</v>
      </c>
      <c r="C132">
        <v>3.0768E-2</v>
      </c>
      <c r="D132">
        <v>1920</v>
      </c>
      <c r="E132">
        <v>9294</v>
      </c>
      <c r="F132">
        <v>2E-3</v>
      </c>
      <c r="G132">
        <v>0</v>
      </c>
      <c r="H132">
        <v>47743.998919999998</v>
      </c>
      <c r="I132">
        <v>7737.9990129999996</v>
      </c>
      <c r="J132">
        <v>40006</v>
      </c>
      <c r="K132">
        <v>7737.9989150000001</v>
      </c>
      <c r="L132">
        <v>841.57771400000001</v>
      </c>
      <c r="N132">
        <v>1</v>
      </c>
      <c r="P132">
        <v>47743.99901</v>
      </c>
      <c r="Q132">
        <v>47743.998919999998</v>
      </c>
      <c r="S132">
        <v>1</v>
      </c>
      <c r="T132">
        <v>1</v>
      </c>
      <c r="U132">
        <v>1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11.49442</v>
      </c>
      <c r="AC132">
        <v>830.05052599999999</v>
      </c>
      <c r="AE132">
        <v>1</v>
      </c>
      <c r="AF132">
        <v>88</v>
      </c>
      <c r="AH132">
        <v>16</v>
      </c>
      <c r="AJ132">
        <v>24331</v>
      </c>
      <c r="AL132">
        <v>439</v>
      </c>
      <c r="AN132">
        <v>88</v>
      </c>
      <c r="AO132">
        <v>16</v>
      </c>
      <c r="AP132">
        <v>24331</v>
      </c>
      <c r="AQ132">
        <v>439</v>
      </c>
      <c r="AR132">
        <v>724.14300000000003</v>
      </c>
      <c r="AS132">
        <v>440</v>
      </c>
      <c r="AU132">
        <v>1.64578</v>
      </c>
    </row>
    <row r="133" spans="1:48" x14ac:dyDescent="0.3">
      <c r="A133" t="s">
        <v>153</v>
      </c>
      <c r="B133">
        <v>7737.9982170000003</v>
      </c>
      <c r="C133">
        <v>0.36501899999999998</v>
      </c>
      <c r="D133">
        <v>1920</v>
      </c>
      <c r="E133">
        <v>9294</v>
      </c>
      <c r="F133">
        <v>2.3E-2</v>
      </c>
      <c r="G133">
        <v>0</v>
      </c>
      <c r="H133">
        <v>47744.998220000001</v>
      </c>
      <c r="I133">
        <v>7737.9985470000001</v>
      </c>
      <c r="J133">
        <v>40007</v>
      </c>
      <c r="K133">
        <v>7737.9982170000003</v>
      </c>
      <c r="L133">
        <v>1257.4155049999999</v>
      </c>
      <c r="N133">
        <v>1</v>
      </c>
      <c r="P133">
        <v>47744.998549999997</v>
      </c>
      <c r="Q133">
        <v>47744.998220000001</v>
      </c>
      <c r="S133">
        <v>1</v>
      </c>
      <c r="T133">
        <v>1</v>
      </c>
      <c r="U133">
        <v>1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92.246212</v>
      </c>
      <c r="AC133">
        <v>1164.7812739999999</v>
      </c>
      <c r="AE133">
        <v>1</v>
      </c>
      <c r="AF133">
        <v>8129</v>
      </c>
      <c r="AH133">
        <v>28</v>
      </c>
      <c r="AJ133">
        <v>23683</v>
      </c>
      <c r="AL133">
        <v>2</v>
      </c>
      <c r="AN133">
        <v>8129</v>
      </c>
      <c r="AO133">
        <v>28</v>
      </c>
      <c r="AP133">
        <v>23683</v>
      </c>
      <c r="AQ133">
        <v>2</v>
      </c>
      <c r="AR133">
        <v>57.406999999999996</v>
      </c>
      <c r="AS133">
        <v>6</v>
      </c>
      <c r="AU133">
        <v>9.5678330000000003</v>
      </c>
    </row>
    <row r="134" spans="1:48" x14ac:dyDescent="0.3">
      <c r="A134" t="s">
        <v>154</v>
      </c>
      <c r="B134">
        <v>8201.9986509999999</v>
      </c>
      <c r="C134">
        <v>4.2648999999999999E-2</v>
      </c>
      <c r="D134">
        <v>2268</v>
      </c>
      <c r="E134">
        <v>13212</v>
      </c>
      <c r="F134">
        <v>3.0000000000000001E-3</v>
      </c>
      <c r="G134">
        <v>0</v>
      </c>
      <c r="H134">
        <v>58205.998650000001</v>
      </c>
      <c r="I134">
        <v>8201.9986509999999</v>
      </c>
      <c r="J134">
        <v>50004</v>
      </c>
      <c r="K134">
        <v>8201.9986509999999</v>
      </c>
      <c r="L134">
        <v>871.92135699999994</v>
      </c>
      <c r="N134">
        <v>1</v>
      </c>
      <c r="P134">
        <v>58205.998650000001</v>
      </c>
      <c r="Q134">
        <v>58205.998650000001</v>
      </c>
      <c r="S134">
        <v>1</v>
      </c>
      <c r="T134">
        <v>1</v>
      </c>
      <c r="U134">
        <v>1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85.322388000000004</v>
      </c>
      <c r="AC134">
        <v>786.55331999999999</v>
      </c>
      <c r="AE134">
        <v>1</v>
      </c>
      <c r="AF134">
        <v>22139</v>
      </c>
      <c r="AH134">
        <v>44</v>
      </c>
      <c r="AJ134">
        <v>38390</v>
      </c>
      <c r="AL134">
        <v>10</v>
      </c>
      <c r="AN134">
        <v>22139</v>
      </c>
      <c r="AO134">
        <v>44</v>
      </c>
      <c r="AP134">
        <v>38390</v>
      </c>
      <c r="AQ134">
        <v>10</v>
      </c>
      <c r="AR134">
        <v>16.413</v>
      </c>
      <c r="AS134">
        <v>12</v>
      </c>
      <c r="AU134">
        <v>1.36775</v>
      </c>
    </row>
    <row r="135" spans="1:48" x14ac:dyDescent="0.3">
      <c r="A135" t="s">
        <v>155</v>
      </c>
      <c r="B135">
        <v>7744.0002500000001</v>
      </c>
      <c r="C135">
        <v>5.0279999999999998E-2</v>
      </c>
      <c r="D135">
        <v>1889</v>
      </c>
      <c r="E135">
        <v>9150</v>
      </c>
      <c r="F135">
        <v>3.0000000000000001E-3</v>
      </c>
      <c r="G135">
        <v>0</v>
      </c>
      <c r="H135">
        <v>57746.000249999997</v>
      </c>
      <c r="I135">
        <v>7744.0002500000001</v>
      </c>
      <c r="J135">
        <v>50002</v>
      </c>
      <c r="K135">
        <v>7744.0002500000001</v>
      </c>
      <c r="L135">
        <v>1672.873245</v>
      </c>
      <c r="N135">
        <v>1</v>
      </c>
      <c r="P135">
        <v>57746.000249999997</v>
      </c>
      <c r="Q135">
        <v>57746.000249999997</v>
      </c>
      <c r="S135">
        <v>1</v>
      </c>
      <c r="T135">
        <v>1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24.894064</v>
      </c>
      <c r="AC135">
        <v>1647.9259010000001</v>
      </c>
      <c r="AE135">
        <v>1</v>
      </c>
      <c r="AF135">
        <v>2554</v>
      </c>
      <c r="AH135">
        <v>41</v>
      </c>
      <c r="AJ135">
        <v>97174</v>
      </c>
      <c r="AL135">
        <v>119</v>
      </c>
      <c r="AN135">
        <v>2554</v>
      </c>
      <c r="AO135">
        <v>41</v>
      </c>
      <c r="AP135">
        <v>97174</v>
      </c>
      <c r="AQ135">
        <v>119</v>
      </c>
      <c r="AR135">
        <v>165.33799999999999</v>
      </c>
      <c r="AS135">
        <v>121</v>
      </c>
      <c r="AU135">
        <v>1.36643</v>
      </c>
    </row>
    <row r="136" spans="1:48" x14ac:dyDescent="0.3">
      <c r="A136" t="s">
        <v>156</v>
      </c>
      <c r="B136">
        <v>7450.0004769999996</v>
      </c>
      <c r="C136">
        <v>4.1813999999999997E-2</v>
      </c>
      <c r="D136">
        <v>2268</v>
      </c>
      <c r="E136">
        <v>13212</v>
      </c>
      <c r="F136">
        <v>3.0000000000000001E-3</v>
      </c>
      <c r="G136">
        <v>0</v>
      </c>
      <c r="H136">
        <v>57453.000480000002</v>
      </c>
      <c r="I136">
        <v>7449.9998640000003</v>
      </c>
      <c r="J136">
        <v>50003</v>
      </c>
      <c r="K136">
        <v>7450.0004769999996</v>
      </c>
      <c r="L136">
        <v>2138.5757269999999</v>
      </c>
      <c r="N136">
        <v>1</v>
      </c>
      <c r="P136">
        <v>57452.999860000004</v>
      </c>
      <c r="Q136">
        <v>57453.000480000002</v>
      </c>
      <c r="S136">
        <v>1</v>
      </c>
      <c r="T136">
        <v>1</v>
      </c>
      <c r="U136">
        <v>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1933.0546079999999</v>
      </c>
      <c r="AC136">
        <v>205.476305</v>
      </c>
      <c r="AE136">
        <v>1</v>
      </c>
      <c r="AF136">
        <v>79</v>
      </c>
      <c r="AH136">
        <v>13</v>
      </c>
      <c r="AJ136">
        <v>21222</v>
      </c>
      <c r="AL136">
        <v>67</v>
      </c>
      <c r="AN136">
        <v>79</v>
      </c>
      <c r="AO136">
        <v>13</v>
      </c>
      <c r="AP136">
        <v>21222</v>
      </c>
      <c r="AQ136">
        <v>67</v>
      </c>
      <c r="AR136">
        <v>100.107</v>
      </c>
      <c r="AS136">
        <v>68</v>
      </c>
      <c r="AU136">
        <v>1.472162</v>
      </c>
    </row>
    <row r="137" spans="1:48" x14ac:dyDescent="0.3">
      <c r="A137" t="s">
        <v>157</v>
      </c>
      <c r="B137">
        <v>7647.99856</v>
      </c>
      <c r="C137">
        <v>3.1516000000000002E-2</v>
      </c>
      <c r="D137">
        <v>2268</v>
      </c>
      <c r="E137">
        <v>13212</v>
      </c>
      <c r="F137">
        <v>3.0000000000000001E-3</v>
      </c>
      <c r="G137">
        <v>0</v>
      </c>
      <c r="H137">
        <v>67650.998560000007</v>
      </c>
      <c r="I137">
        <v>7647.999425</v>
      </c>
      <c r="J137">
        <v>60003</v>
      </c>
      <c r="K137">
        <v>7647.99856</v>
      </c>
      <c r="L137">
        <v>3003.5442199999998</v>
      </c>
      <c r="N137">
        <v>1</v>
      </c>
      <c r="P137">
        <v>67650.999429999996</v>
      </c>
      <c r="Q137">
        <v>67650.998560000007</v>
      </c>
      <c r="S137">
        <v>1</v>
      </c>
      <c r="T137">
        <v>1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1047.5358759999999</v>
      </c>
      <c r="AC137">
        <v>1955.9738279999999</v>
      </c>
      <c r="AE137">
        <v>1</v>
      </c>
      <c r="AF137">
        <v>3381</v>
      </c>
      <c r="AH137">
        <v>38</v>
      </c>
      <c r="AJ137">
        <v>127575</v>
      </c>
      <c r="AL137">
        <v>609</v>
      </c>
      <c r="AN137">
        <v>3381</v>
      </c>
      <c r="AO137">
        <v>38</v>
      </c>
      <c r="AP137">
        <v>127575</v>
      </c>
      <c r="AQ137">
        <v>609</v>
      </c>
      <c r="AR137">
        <v>999.68299999999999</v>
      </c>
      <c r="AS137">
        <v>610</v>
      </c>
      <c r="AU137">
        <v>1.638825</v>
      </c>
    </row>
    <row r="138" spans="1:48" x14ac:dyDescent="0.3">
      <c r="A138" t="s">
        <v>158</v>
      </c>
      <c r="B138">
        <v>7791.998646</v>
      </c>
      <c r="C138">
        <v>3.0814999999999999E-2</v>
      </c>
      <c r="D138">
        <v>2268</v>
      </c>
      <c r="E138">
        <v>13212</v>
      </c>
      <c r="F138">
        <v>3.0000000000000001E-3</v>
      </c>
      <c r="G138">
        <v>0</v>
      </c>
      <c r="H138">
        <v>67793.998649999994</v>
      </c>
      <c r="I138">
        <v>7791.998646</v>
      </c>
      <c r="J138">
        <v>60002</v>
      </c>
      <c r="K138">
        <v>7791.998646</v>
      </c>
      <c r="L138">
        <v>2740.8734239999999</v>
      </c>
      <c r="N138">
        <v>1</v>
      </c>
      <c r="P138">
        <v>67793.998649999994</v>
      </c>
      <c r="Q138">
        <v>67793.998649999994</v>
      </c>
      <c r="S138">
        <v>1</v>
      </c>
      <c r="T138">
        <v>1</v>
      </c>
      <c r="U138">
        <v>1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2443.682832</v>
      </c>
      <c r="AC138">
        <v>297.15677699999998</v>
      </c>
      <c r="AE138">
        <v>1</v>
      </c>
      <c r="AF138">
        <v>3416</v>
      </c>
      <c r="AH138">
        <v>33</v>
      </c>
      <c r="AJ138">
        <v>32989</v>
      </c>
      <c r="AL138">
        <v>8</v>
      </c>
      <c r="AN138">
        <v>3416</v>
      </c>
      <c r="AO138">
        <v>33</v>
      </c>
      <c r="AP138">
        <v>32989</v>
      </c>
      <c r="AQ138">
        <v>8</v>
      </c>
      <c r="AR138">
        <v>13.587</v>
      </c>
      <c r="AS138">
        <v>10</v>
      </c>
      <c r="AU138">
        <v>1.3587</v>
      </c>
    </row>
    <row r="139" spans="1:48" x14ac:dyDescent="0.3">
      <c r="A139" t="s">
        <v>159</v>
      </c>
      <c r="B139">
        <v>7758.0003379999998</v>
      </c>
      <c r="C139">
        <v>8.7385000000000004E-2</v>
      </c>
      <c r="D139">
        <v>2268</v>
      </c>
      <c r="E139">
        <v>13212</v>
      </c>
      <c r="F139">
        <v>3.0000000000000001E-3</v>
      </c>
      <c r="G139">
        <v>0</v>
      </c>
      <c r="H139">
        <v>67763.000339999999</v>
      </c>
      <c r="I139">
        <v>7758.0002320000003</v>
      </c>
      <c r="J139">
        <v>60005</v>
      </c>
      <c r="K139">
        <v>7758.0003379999998</v>
      </c>
      <c r="L139">
        <v>3064.5446500000003</v>
      </c>
      <c r="N139">
        <v>1</v>
      </c>
      <c r="P139">
        <v>67763.000230000005</v>
      </c>
      <c r="Q139">
        <v>67763.000339999999</v>
      </c>
      <c r="S139">
        <v>1</v>
      </c>
      <c r="T139">
        <v>1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193.84322399999999</v>
      </c>
      <c r="AC139">
        <v>2870.6110410000001</v>
      </c>
      <c r="AE139">
        <v>1</v>
      </c>
      <c r="AF139">
        <v>5287</v>
      </c>
      <c r="AH139">
        <v>31</v>
      </c>
      <c r="AJ139">
        <v>27571</v>
      </c>
      <c r="AL139">
        <v>2081</v>
      </c>
      <c r="AN139">
        <v>5287</v>
      </c>
      <c r="AO139">
        <v>31</v>
      </c>
      <c r="AP139">
        <v>27571</v>
      </c>
      <c r="AQ139">
        <v>2081</v>
      </c>
      <c r="AR139">
        <v>2595.8989999999999</v>
      </c>
      <c r="AS139">
        <v>2082</v>
      </c>
      <c r="AU139">
        <v>1.246829</v>
      </c>
    </row>
    <row r="140" spans="1:48" x14ac:dyDescent="0.3">
      <c r="A140" t="s">
        <v>160</v>
      </c>
      <c r="B140">
        <v>7709.9989800000003</v>
      </c>
      <c r="C140">
        <v>4.4111999999999998E-2</v>
      </c>
      <c r="D140">
        <v>2268</v>
      </c>
      <c r="E140">
        <v>13212</v>
      </c>
      <c r="F140">
        <v>3.0000000000000001E-3</v>
      </c>
      <c r="G140">
        <v>0</v>
      </c>
      <c r="H140">
        <v>67712.998980000004</v>
      </c>
      <c r="I140">
        <v>7709.9988720000001</v>
      </c>
      <c r="J140">
        <v>60003</v>
      </c>
      <c r="K140">
        <v>7709.9989800000003</v>
      </c>
      <c r="L140">
        <v>3491.6948160000002</v>
      </c>
      <c r="N140">
        <v>1</v>
      </c>
      <c r="P140">
        <v>67712.998869999996</v>
      </c>
      <c r="Q140">
        <v>67712.998980000004</v>
      </c>
      <c r="S140">
        <v>1</v>
      </c>
      <c r="T140">
        <v>1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3101.036196</v>
      </c>
      <c r="AC140">
        <v>390.61150800000001</v>
      </c>
      <c r="AE140">
        <v>1</v>
      </c>
      <c r="AF140">
        <v>199</v>
      </c>
      <c r="AH140">
        <v>22</v>
      </c>
      <c r="AJ140">
        <v>30809</v>
      </c>
      <c r="AL140">
        <v>198</v>
      </c>
      <c r="AN140">
        <v>199</v>
      </c>
      <c r="AO140">
        <v>22</v>
      </c>
      <c r="AP140">
        <v>30809</v>
      </c>
      <c r="AQ140">
        <v>198</v>
      </c>
      <c r="AR140">
        <v>286.93299999999999</v>
      </c>
      <c r="AS140">
        <v>199</v>
      </c>
      <c r="AU140">
        <v>1.4418740000000001</v>
      </c>
    </row>
    <row r="141" spans="1:48" s="1" customFormat="1" x14ac:dyDescent="0.3">
      <c r="A141" s="1" t="s">
        <v>161</v>
      </c>
      <c r="B141" s="1">
        <v>7616.0003420000003</v>
      </c>
      <c r="C141" s="1">
        <v>7.1677000000000005E-2</v>
      </c>
      <c r="D141" s="1">
        <v>2268</v>
      </c>
      <c r="E141" s="1">
        <v>13212</v>
      </c>
      <c r="F141" s="1">
        <v>3.0000000000000001E-3</v>
      </c>
      <c r="G141" s="1">
        <v>0</v>
      </c>
      <c r="H141" s="1">
        <v>67619.000339999999</v>
      </c>
      <c r="I141" s="1">
        <v>7616.0002210000002</v>
      </c>
      <c r="J141" s="1">
        <v>60003</v>
      </c>
      <c r="K141" s="1">
        <v>7616.0003420000003</v>
      </c>
      <c r="L141" s="1">
        <v>3556.1217160000001</v>
      </c>
      <c r="N141" s="1">
        <v>1</v>
      </c>
      <c r="P141" s="1">
        <v>67619.000220000002</v>
      </c>
      <c r="Q141" s="1">
        <v>67619.000339999999</v>
      </c>
      <c r="S141" s="1">
        <v>1</v>
      </c>
      <c r="T141" s="1">
        <v>1</v>
      </c>
      <c r="U141" s="1">
        <v>1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967.16262600000005</v>
      </c>
      <c r="AC141" s="1">
        <v>2588.8844130000002</v>
      </c>
      <c r="AE141" s="1">
        <v>1</v>
      </c>
      <c r="AF141" s="1">
        <v>7247</v>
      </c>
      <c r="AH141" s="1">
        <v>36</v>
      </c>
      <c r="AJ141" s="1">
        <v>129037</v>
      </c>
      <c r="AL141" s="1">
        <v>783</v>
      </c>
      <c r="AN141" s="1">
        <v>7247</v>
      </c>
      <c r="AO141" s="1">
        <v>36</v>
      </c>
      <c r="AP141" s="1">
        <v>129037</v>
      </c>
      <c r="AQ141" s="1">
        <v>783</v>
      </c>
      <c r="AR141" s="1">
        <v>1019.17</v>
      </c>
      <c r="AS141" s="1">
        <v>784</v>
      </c>
      <c r="AU141" s="1">
        <v>1.2999620000000001</v>
      </c>
    </row>
    <row r="142" spans="1:48" x14ac:dyDescent="0.3">
      <c r="A142" t="s">
        <v>124</v>
      </c>
      <c r="B142">
        <v>8873.3328039999997</v>
      </c>
      <c r="C142">
        <v>4.8973999999999997E-2</v>
      </c>
      <c r="D142">
        <v>1741</v>
      </c>
      <c r="E142">
        <v>9606</v>
      </c>
      <c r="F142">
        <v>2E-3</v>
      </c>
      <c r="G142">
        <v>0</v>
      </c>
      <c r="H142">
        <v>128875.33259999999</v>
      </c>
      <c r="I142">
        <v>8873.3327200000003</v>
      </c>
      <c r="J142">
        <v>120001.99980000001</v>
      </c>
      <c r="K142">
        <v>8873.3328039999997</v>
      </c>
      <c r="L142">
        <v>213.49576000000002</v>
      </c>
      <c r="M142">
        <v>1275.1299782307692</v>
      </c>
      <c r="N142">
        <v>1</v>
      </c>
      <c r="O142">
        <f>AVERAGE(N142:N154)</f>
        <v>1</v>
      </c>
      <c r="P142">
        <v>100000</v>
      </c>
      <c r="Q142">
        <v>128875.33259999999</v>
      </c>
      <c r="R142">
        <f>SUM(S142:S154)</f>
        <v>13</v>
      </c>
      <c r="S142">
        <v>1</v>
      </c>
      <c r="T142">
        <v>1</v>
      </c>
      <c r="U142">
        <v>1</v>
      </c>
      <c r="V142">
        <v>0</v>
      </c>
      <c r="W142">
        <v>0</v>
      </c>
      <c r="X142">
        <v>0</v>
      </c>
      <c r="Y142">
        <v>-1</v>
      </c>
      <c r="Z142">
        <v>1</v>
      </c>
      <c r="AA142">
        <v>5.8424490000000002</v>
      </c>
      <c r="AB142">
        <v>159.08658346153845</v>
      </c>
      <c r="AC142">
        <v>207.60233700000001</v>
      </c>
      <c r="AD142">
        <v>1115.9893816923077</v>
      </c>
      <c r="AE142">
        <v>1</v>
      </c>
      <c r="AF142">
        <v>2904</v>
      </c>
      <c r="AG142">
        <f>AVERAGE(AF142:AF154)</f>
        <v>5948.6153846153848</v>
      </c>
      <c r="AH142">
        <v>37</v>
      </c>
      <c r="AI142">
        <f>AVERAGE(AH142:AH154)</f>
        <v>37.46153846153846</v>
      </c>
      <c r="AJ142">
        <v>17191</v>
      </c>
      <c r="AK142">
        <f>AVERAGE(AJ142:AJ154)</f>
        <v>44892.230769230766</v>
      </c>
      <c r="AL142">
        <v>6</v>
      </c>
      <c r="AM142">
        <f>AVERAGE(AL142:AL154)</f>
        <v>261.84615384615387</v>
      </c>
      <c r="AN142">
        <v>2904</v>
      </c>
      <c r="AO142">
        <v>37</v>
      </c>
      <c r="AP142">
        <v>17191</v>
      </c>
      <c r="AQ142">
        <v>6</v>
      </c>
      <c r="AR142">
        <v>18.734999999999999</v>
      </c>
      <c r="AS142">
        <v>7</v>
      </c>
      <c r="AT142">
        <f>AVERAGE(AS142:AS154)</f>
        <v>263.53846153846155</v>
      </c>
      <c r="AU142">
        <v>2.6764290000000002</v>
      </c>
      <c r="AV142">
        <f>AVERAGE(AU142:AU154)</f>
        <v>2.314233230769231</v>
      </c>
    </row>
    <row r="143" spans="1:48" x14ac:dyDescent="0.3">
      <c r="A143" t="s">
        <v>125</v>
      </c>
      <c r="B143">
        <v>9899.9984980000008</v>
      </c>
      <c r="C143">
        <v>4.7771000000000001E-2</v>
      </c>
      <c r="D143">
        <v>1451</v>
      </c>
      <c r="E143">
        <v>6635</v>
      </c>
      <c r="F143">
        <v>2E-3</v>
      </c>
      <c r="G143">
        <v>0</v>
      </c>
      <c r="H143">
        <v>129903.9985</v>
      </c>
      <c r="I143">
        <v>9899.9984550000008</v>
      </c>
      <c r="J143">
        <v>120004</v>
      </c>
      <c r="K143">
        <v>9899.9984980000008</v>
      </c>
      <c r="L143">
        <v>1927.6268970000001</v>
      </c>
      <c r="N143">
        <v>1</v>
      </c>
      <c r="P143">
        <v>100000</v>
      </c>
      <c r="Q143">
        <v>129903.9985</v>
      </c>
      <c r="S143">
        <v>1</v>
      </c>
      <c r="T143">
        <v>1</v>
      </c>
      <c r="U143">
        <v>1</v>
      </c>
      <c r="V143">
        <v>0</v>
      </c>
      <c r="W143">
        <v>0</v>
      </c>
      <c r="X143">
        <v>0</v>
      </c>
      <c r="Y143">
        <v>-1</v>
      </c>
      <c r="Z143">
        <v>1</v>
      </c>
      <c r="AA143">
        <v>929.71366899999998</v>
      </c>
      <c r="AC143">
        <v>997.86345700000004</v>
      </c>
      <c r="AE143">
        <v>1</v>
      </c>
      <c r="AF143">
        <v>312</v>
      </c>
      <c r="AH143">
        <v>37</v>
      </c>
      <c r="AJ143">
        <v>60150</v>
      </c>
      <c r="AL143">
        <v>294</v>
      </c>
      <c r="AN143">
        <v>312</v>
      </c>
      <c r="AO143">
        <v>37</v>
      </c>
      <c r="AP143">
        <v>60150</v>
      </c>
      <c r="AQ143">
        <v>294</v>
      </c>
      <c r="AR143">
        <v>677.399</v>
      </c>
      <c r="AS143">
        <v>295</v>
      </c>
      <c r="AU143">
        <v>2.296268</v>
      </c>
    </row>
    <row r="144" spans="1:48" x14ac:dyDescent="0.3">
      <c r="A144" t="s">
        <v>126</v>
      </c>
      <c r="B144">
        <v>9700.000489</v>
      </c>
      <c r="C144">
        <v>5.5354E-2</v>
      </c>
      <c r="D144">
        <v>1451</v>
      </c>
      <c r="E144">
        <v>6635</v>
      </c>
      <c r="F144">
        <v>2E-3</v>
      </c>
      <c r="G144">
        <v>0</v>
      </c>
      <c r="H144">
        <v>119705.00049999999</v>
      </c>
      <c r="I144">
        <v>9700.000489</v>
      </c>
      <c r="J144">
        <v>110005</v>
      </c>
      <c r="K144">
        <v>9700.000489</v>
      </c>
      <c r="L144">
        <v>1824.4811850000001</v>
      </c>
      <c r="N144">
        <v>1</v>
      </c>
      <c r="P144">
        <v>100000</v>
      </c>
      <c r="Q144">
        <v>119705.00049999999</v>
      </c>
      <c r="S144">
        <v>1</v>
      </c>
      <c r="T144">
        <v>1</v>
      </c>
      <c r="U144">
        <v>1</v>
      </c>
      <c r="V144">
        <v>0</v>
      </c>
      <c r="W144">
        <v>0</v>
      </c>
      <c r="X144">
        <v>0</v>
      </c>
      <c r="Y144">
        <v>-1</v>
      </c>
      <c r="Z144">
        <v>1</v>
      </c>
      <c r="AA144">
        <v>0.21075199999999999</v>
      </c>
      <c r="AC144">
        <v>1824.2130790000001</v>
      </c>
      <c r="AE144">
        <v>1</v>
      </c>
      <c r="AF144">
        <v>4274</v>
      </c>
      <c r="AH144">
        <v>56</v>
      </c>
      <c r="AJ144">
        <v>107622</v>
      </c>
      <c r="AL144">
        <v>147</v>
      </c>
      <c r="AN144">
        <v>4274</v>
      </c>
      <c r="AO144">
        <v>56</v>
      </c>
      <c r="AP144">
        <v>107622</v>
      </c>
      <c r="AQ144">
        <v>147</v>
      </c>
      <c r="AR144">
        <v>362.50099999999998</v>
      </c>
      <c r="AS144">
        <v>151</v>
      </c>
      <c r="AU144">
        <v>2.4006690000000002</v>
      </c>
    </row>
    <row r="145" spans="1:48" x14ac:dyDescent="0.3">
      <c r="A145" t="s">
        <v>127</v>
      </c>
      <c r="B145">
        <v>9279.9989220000007</v>
      </c>
      <c r="C145">
        <v>5.0541000000000003E-2</v>
      </c>
      <c r="D145">
        <v>1741</v>
      </c>
      <c r="E145">
        <v>9606</v>
      </c>
      <c r="F145">
        <v>2E-3</v>
      </c>
      <c r="G145">
        <v>0</v>
      </c>
      <c r="H145">
        <v>129283.99890000001</v>
      </c>
      <c r="I145">
        <v>9279.9988979999998</v>
      </c>
      <c r="J145">
        <v>120004</v>
      </c>
      <c r="K145">
        <v>9279.9989220000007</v>
      </c>
      <c r="L145">
        <v>231.786519</v>
      </c>
      <c r="N145">
        <v>1</v>
      </c>
      <c r="P145">
        <v>100000</v>
      </c>
      <c r="Q145">
        <v>129283.99890000001</v>
      </c>
      <c r="S145">
        <v>1</v>
      </c>
      <c r="T145">
        <v>1</v>
      </c>
      <c r="U145">
        <v>1</v>
      </c>
      <c r="V145">
        <v>0</v>
      </c>
      <c r="W145">
        <v>0</v>
      </c>
      <c r="X145">
        <v>0</v>
      </c>
      <c r="Y145">
        <v>-1</v>
      </c>
      <c r="Z145">
        <v>1</v>
      </c>
      <c r="AA145">
        <v>43.228431999999998</v>
      </c>
      <c r="AC145">
        <v>188.50554600000001</v>
      </c>
      <c r="AE145">
        <v>1</v>
      </c>
      <c r="AF145">
        <v>3711</v>
      </c>
      <c r="AH145">
        <v>20</v>
      </c>
      <c r="AJ145">
        <v>10843</v>
      </c>
      <c r="AL145">
        <v>12</v>
      </c>
      <c r="AN145">
        <v>3711</v>
      </c>
      <c r="AO145">
        <v>20</v>
      </c>
      <c r="AP145">
        <v>10843</v>
      </c>
      <c r="AQ145">
        <v>12</v>
      </c>
      <c r="AR145">
        <v>30.071000000000002</v>
      </c>
      <c r="AS145">
        <v>13</v>
      </c>
      <c r="AU145">
        <v>2.3131539999999999</v>
      </c>
    </row>
    <row r="146" spans="1:48" x14ac:dyDescent="0.3">
      <c r="A146" t="s">
        <v>128</v>
      </c>
      <c r="B146">
        <v>8806.6660109999993</v>
      </c>
      <c r="C146">
        <v>5.0960999999999999E-2</v>
      </c>
      <c r="D146">
        <v>1741</v>
      </c>
      <c r="E146">
        <v>9606</v>
      </c>
      <c r="F146">
        <v>3.0000000000000001E-3</v>
      </c>
      <c r="G146">
        <v>0</v>
      </c>
      <c r="H146">
        <v>128809.666</v>
      </c>
      <c r="I146">
        <v>8806.6659940000009</v>
      </c>
      <c r="J146">
        <v>120003</v>
      </c>
      <c r="K146">
        <v>8806.6660109999993</v>
      </c>
      <c r="L146">
        <v>742.93922800000007</v>
      </c>
      <c r="N146">
        <v>1</v>
      </c>
      <c r="P146">
        <v>100000</v>
      </c>
      <c r="Q146">
        <v>128809.666</v>
      </c>
      <c r="S146">
        <v>1</v>
      </c>
      <c r="T146">
        <v>1</v>
      </c>
      <c r="U146">
        <v>1</v>
      </c>
      <c r="V146">
        <v>0</v>
      </c>
      <c r="W146">
        <v>0</v>
      </c>
      <c r="X146">
        <v>0</v>
      </c>
      <c r="Y146">
        <v>-1</v>
      </c>
      <c r="Z146">
        <v>1</v>
      </c>
      <c r="AA146">
        <v>29.530099</v>
      </c>
      <c r="AC146">
        <v>713.35516800000005</v>
      </c>
      <c r="AE146">
        <v>1</v>
      </c>
      <c r="AF146">
        <v>7818</v>
      </c>
      <c r="AH146">
        <v>38</v>
      </c>
      <c r="AJ146">
        <v>50433</v>
      </c>
      <c r="AL146">
        <v>74</v>
      </c>
      <c r="AN146">
        <v>7818</v>
      </c>
      <c r="AO146">
        <v>38</v>
      </c>
      <c r="AP146">
        <v>50433</v>
      </c>
      <c r="AQ146">
        <v>74</v>
      </c>
      <c r="AR146">
        <v>176.17400000000001</v>
      </c>
      <c r="AS146">
        <v>75</v>
      </c>
      <c r="AU146">
        <v>2.3489870000000002</v>
      </c>
    </row>
    <row r="147" spans="1:48" x14ac:dyDescent="0.3">
      <c r="A147" t="s">
        <v>129</v>
      </c>
      <c r="B147">
        <v>9360.0000080000009</v>
      </c>
      <c r="C147">
        <v>5.2927000000000002E-2</v>
      </c>
      <c r="D147">
        <v>1741</v>
      </c>
      <c r="E147">
        <v>9606</v>
      </c>
      <c r="F147">
        <v>3.0000000000000001E-3</v>
      </c>
      <c r="G147">
        <v>0</v>
      </c>
      <c r="H147">
        <v>129362</v>
      </c>
      <c r="I147">
        <v>9359.9997789999998</v>
      </c>
      <c r="J147">
        <v>120002</v>
      </c>
      <c r="K147">
        <v>9360.0000080000009</v>
      </c>
      <c r="L147">
        <v>1057.0284529999999</v>
      </c>
      <c r="N147">
        <v>1</v>
      </c>
      <c r="P147">
        <v>100000</v>
      </c>
      <c r="Q147">
        <v>129362</v>
      </c>
      <c r="S147">
        <v>1</v>
      </c>
      <c r="T147">
        <v>1</v>
      </c>
      <c r="U147">
        <v>1</v>
      </c>
      <c r="V147">
        <v>0</v>
      </c>
      <c r="W147">
        <v>0</v>
      </c>
      <c r="X147">
        <v>0</v>
      </c>
      <c r="Y147">
        <v>-1</v>
      </c>
      <c r="Z147">
        <v>1</v>
      </c>
      <c r="AA147">
        <v>40.586385999999997</v>
      </c>
      <c r="AC147">
        <v>1016.38614</v>
      </c>
      <c r="AE147">
        <v>1</v>
      </c>
      <c r="AF147">
        <v>32337</v>
      </c>
      <c r="AH147">
        <v>38</v>
      </c>
      <c r="AJ147">
        <v>17461</v>
      </c>
      <c r="AL147">
        <v>73</v>
      </c>
      <c r="AN147">
        <v>32337</v>
      </c>
      <c r="AO147">
        <v>38</v>
      </c>
      <c r="AP147">
        <v>17461</v>
      </c>
      <c r="AQ147">
        <v>73</v>
      </c>
      <c r="AR147">
        <v>188.78100000000001</v>
      </c>
      <c r="AS147">
        <v>74</v>
      </c>
      <c r="AU147">
        <v>2.5510950000000001</v>
      </c>
    </row>
    <row r="148" spans="1:48" x14ac:dyDescent="0.3">
      <c r="A148" t="s">
        <v>130</v>
      </c>
      <c r="B148">
        <v>9199.9990849999995</v>
      </c>
      <c r="C148">
        <v>5.3784999999999999E-2</v>
      </c>
      <c r="D148">
        <v>1451</v>
      </c>
      <c r="E148">
        <v>6635</v>
      </c>
      <c r="F148">
        <v>2E-3</v>
      </c>
      <c r="G148">
        <v>0</v>
      </c>
      <c r="H148">
        <v>129202.9991</v>
      </c>
      <c r="I148">
        <v>9199.9990479999997</v>
      </c>
      <c r="J148">
        <v>120003</v>
      </c>
      <c r="K148">
        <v>9199.9990849999995</v>
      </c>
      <c r="L148">
        <v>711.71044800000004</v>
      </c>
      <c r="N148">
        <v>1</v>
      </c>
      <c r="P148">
        <v>100000</v>
      </c>
      <c r="Q148">
        <v>129202.9991</v>
      </c>
      <c r="S148">
        <v>1</v>
      </c>
      <c r="T148">
        <v>1</v>
      </c>
      <c r="U148">
        <v>1</v>
      </c>
      <c r="V148">
        <v>0</v>
      </c>
      <c r="W148">
        <v>0</v>
      </c>
      <c r="X148">
        <v>0</v>
      </c>
      <c r="Y148">
        <v>-1</v>
      </c>
      <c r="Z148">
        <v>1</v>
      </c>
      <c r="AA148">
        <v>20.340558000000001</v>
      </c>
      <c r="AC148">
        <v>691.31410500000004</v>
      </c>
      <c r="AE148">
        <v>1</v>
      </c>
      <c r="AF148">
        <v>6327</v>
      </c>
      <c r="AH148">
        <v>48</v>
      </c>
      <c r="AJ148">
        <v>61996</v>
      </c>
      <c r="AL148">
        <v>48</v>
      </c>
      <c r="AN148">
        <v>6327</v>
      </c>
      <c r="AO148">
        <v>48</v>
      </c>
      <c r="AP148">
        <v>61996</v>
      </c>
      <c r="AQ148">
        <v>48</v>
      </c>
      <c r="AR148">
        <v>108.651</v>
      </c>
      <c r="AS148">
        <v>49</v>
      </c>
      <c r="AU148">
        <v>2.2173669999999999</v>
      </c>
    </row>
    <row r="149" spans="1:48" x14ac:dyDescent="0.3">
      <c r="A149" t="s">
        <v>131</v>
      </c>
      <c r="B149">
        <v>9286.6645929999995</v>
      </c>
      <c r="C149">
        <v>5.3934999999999997E-2</v>
      </c>
      <c r="D149">
        <v>1741</v>
      </c>
      <c r="E149">
        <v>9606</v>
      </c>
      <c r="F149">
        <v>2E-3</v>
      </c>
      <c r="G149">
        <v>0</v>
      </c>
      <c r="H149">
        <v>129288.6646</v>
      </c>
      <c r="I149">
        <v>9286.6644419999993</v>
      </c>
      <c r="J149">
        <v>120002</v>
      </c>
      <c r="K149">
        <v>9286.6645929999995</v>
      </c>
      <c r="L149">
        <v>3443.49521</v>
      </c>
      <c r="N149">
        <v>1</v>
      </c>
      <c r="P149">
        <v>100000</v>
      </c>
      <c r="Q149">
        <v>129288.6646</v>
      </c>
      <c r="S149">
        <v>1</v>
      </c>
      <c r="T149">
        <v>1</v>
      </c>
      <c r="U149">
        <v>1</v>
      </c>
      <c r="V149">
        <v>0</v>
      </c>
      <c r="W149">
        <v>0</v>
      </c>
      <c r="X149">
        <v>0</v>
      </c>
      <c r="Y149">
        <v>-1</v>
      </c>
      <c r="Z149">
        <v>1</v>
      </c>
      <c r="AA149">
        <v>271.64224100000001</v>
      </c>
      <c r="AC149">
        <v>3171.7970340000002</v>
      </c>
      <c r="AE149">
        <v>1</v>
      </c>
      <c r="AF149">
        <v>6569</v>
      </c>
      <c r="AH149">
        <v>38</v>
      </c>
      <c r="AJ149">
        <v>36922</v>
      </c>
      <c r="AL149">
        <v>1344</v>
      </c>
      <c r="AN149">
        <v>6569</v>
      </c>
      <c r="AO149">
        <v>38</v>
      </c>
      <c r="AP149">
        <v>36922</v>
      </c>
      <c r="AQ149">
        <v>1344</v>
      </c>
      <c r="AR149">
        <v>2779.9749999999999</v>
      </c>
      <c r="AS149">
        <v>1345</v>
      </c>
      <c r="AU149">
        <v>2.0668959999999998</v>
      </c>
    </row>
    <row r="150" spans="1:48" x14ac:dyDescent="0.3">
      <c r="A150" t="s">
        <v>132</v>
      </c>
      <c r="B150">
        <v>8666.6669550000006</v>
      </c>
      <c r="C150">
        <v>4.8799000000000002E-2</v>
      </c>
      <c r="D150">
        <v>1741</v>
      </c>
      <c r="E150">
        <v>9606</v>
      </c>
      <c r="F150">
        <v>2E-3</v>
      </c>
      <c r="G150">
        <v>0</v>
      </c>
      <c r="H150">
        <v>128667.667</v>
      </c>
      <c r="I150">
        <v>8666.6661540000005</v>
      </c>
      <c r="J150">
        <v>120001</v>
      </c>
      <c r="K150">
        <v>8666.6669550000006</v>
      </c>
      <c r="L150">
        <v>1568.247165</v>
      </c>
      <c r="N150">
        <v>1</v>
      </c>
      <c r="P150">
        <v>100000</v>
      </c>
      <c r="Q150">
        <v>128667.667</v>
      </c>
      <c r="S150">
        <v>1</v>
      </c>
      <c r="T150">
        <v>1</v>
      </c>
      <c r="U150">
        <v>1</v>
      </c>
      <c r="V150">
        <v>0</v>
      </c>
      <c r="W150">
        <v>0</v>
      </c>
      <c r="X150">
        <v>0</v>
      </c>
      <c r="Y150">
        <v>-1</v>
      </c>
      <c r="Z150">
        <v>1</v>
      </c>
      <c r="AA150">
        <v>207.71799799999999</v>
      </c>
      <c r="AC150">
        <v>1360.478368</v>
      </c>
      <c r="AE150">
        <v>1</v>
      </c>
      <c r="AF150">
        <v>2018</v>
      </c>
      <c r="AH150">
        <v>54</v>
      </c>
      <c r="AJ150">
        <v>104631</v>
      </c>
      <c r="AL150">
        <v>9</v>
      </c>
      <c r="AN150">
        <v>2018</v>
      </c>
      <c r="AO150">
        <v>54</v>
      </c>
      <c r="AP150">
        <v>104631</v>
      </c>
      <c r="AQ150">
        <v>9</v>
      </c>
      <c r="AR150">
        <v>22.439</v>
      </c>
      <c r="AS150">
        <v>10</v>
      </c>
      <c r="AU150">
        <v>2.2439</v>
      </c>
    </row>
    <row r="151" spans="1:48" x14ac:dyDescent="0.3">
      <c r="A151" t="s">
        <v>133</v>
      </c>
      <c r="B151">
        <v>9046.6648280000009</v>
      </c>
      <c r="C151">
        <v>5.2786E-2</v>
      </c>
      <c r="D151">
        <v>1741</v>
      </c>
      <c r="E151">
        <v>9606</v>
      </c>
      <c r="F151">
        <v>2E-3</v>
      </c>
      <c r="G151">
        <v>0</v>
      </c>
      <c r="H151">
        <v>129049.6648</v>
      </c>
      <c r="I151">
        <v>9046.6648280000009</v>
      </c>
      <c r="J151">
        <v>120003</v>
      </c>
      <c r="K151">
        <v>9046.6648280000009</v>
      </c>
      <c r="L151">
        <v>302.205624</v>
      </c>
      <c r="N151">
        <v>1</v>
      </c>
      <c r="P151">
        <v>100000</v>
      </c>
      <c r="Q151">
        <v>129049.6648</v>
      </c>
      <c r="S151">
        <v>1</v>
      </c>
      <c r="T151">
        <v>1</v>
      </c>
      <c r="U151">
        <v>1</v>
      </c>
      <c r="V151">
        <v>0</v>
      </c>
      <c r="W151">
        <v>0</v>
      </c>
      <c r="X151">
        <v>0</v>
      </c>
      <c r="Y151">
        <v>-1</v>
      </c>
      <c r="Z151">
        <v>1</v>
      </c>
      <c r="AA151">
        <v>22.516081</v>
      </c>
      <c r="AC151">
        <v>279.63475699999998</v>
      </c>
      <c r="AE151">
        <v>1</v>
      </c>
      <c r="AF151">
        <v>585</v>
      </c>
      <c r="AH151">
        <v>28</v>
      </c>
      <c r="AJ151">
        <v>19911</v>
      </c>
      <c r="AL151">
        <v>16</v>
      </c>
      <c r="AN151">
        <v>585</v>
      </c>
      <c r="AO151">
        <v>28</v>
      </c>
      <c r="AP151">
        <v>19911</v>
      </c>
      <c r="AQ151">
        <v>16</v>
      </c>
      <c r="AR151">
        <v>41.871000000000002</v>
      </c>
      <c r="AS151">
        <v>19</v>
      </c>
      <c r="AU151">
        <v>2.2037369999999998</v>
      </c>
    </row>
    <row r="152" spans="1:48" x14ac:dyDescent="0.3">
      <c r="A152" t="s">
        <v>134</v>
      </c>
      <c r="B152">
        <v>9259.9999250000001</v>
      </c>
      <c r="C152">
        <v>5.5407999999999999E-2</v>
      </c>
      <c r="D152">
        <v>1741</v>
      </c>
      <c r="E152">
        <v>9606</v>
      </c>
      <c r="F152">
        <v>3.0000000000000001E-3</v>
      </c>
      <c r="G152">
        <v>0</v>
      </c>
      <c r="H152">
        <v>129261.9999</v>
      </c>
      <c r="I152">
        <v>9259.9997910000002</v>
      </c>
      <c r="J152">
        <v>120002</v>
      </c>
      <c r="K152">
        <v>9259.9999250000001</v>
      </c>
      <c r="L152">
        <v>779.85493499999995</v>
      </c>
      <c r="N152">
        <v>1</v>
      </c>
      <c r="P152">
        <v>100000</v>
      </c>
      <c r="Q152">
        <v>129261.9999</v>
      </c>
      <c r="S152">
        <v>1</v>
      </c>
      <c r="T152">
        <v>1</v>
      </c>
      <c r="U152">
        <v>1</v>
      </c>
      <c r="V152">
        <v>0</v>
      </c>
      <c r="W152">
        <v>0</v>
      </c>
      <c r="X152">
        <v>0</v>
      </c>
      <c r="Y152">
        <v>-1</v>
      </c>
      <c r="Z152">
        <v>1</v>
      </c>
      <c r="AA152">
        <v>185.588673</v>
      </c>
      <c r="AC152">
        <v>594.207854</v>
      </c>
      <c r="AE152">
        <v>1</v>
      </c>
      <c r="AF152">
        <v>5603</v>
      </c>
      <c r="AH152">
        <v>49</v>
      </c>
      <c r="AJ152">
        <v>48567</v>
      </c>
      <c r="AL152">
        <v>39</v>
      </c>
      <c r="AN152">
        <v>5603</v>
      </c>
      <c r="AO152">
        <v>49</v>
      </c>
      <c r="AP152">
        <v>48567</v>
      </c>
      <c r="AQ152">
        <v>39</v>
      </c>
      <c r="AR152">
        <v>108.94</v>
      </c>
      <c r="AS152">
        <v>44</v>
      </c>
      <c r="AU152">
        <v>2.4759090000000001</v>
      </c>
    </row>
    <row r="153" spans="1:48" x14ac:dyDescent="0.3">
      <c r="A153" t="s">
        <v>135</v>
      </c>
      <c r="B153">
        <v>9599.9998720000003</v>
      </c>
      <c r="C153">
        <v>5.1201999999999998E-2</v>
      </c>
      <c r="D153">
        <v>1741</v>
      </c>
      <c r="E153">
        <v>9606</v>
      </c>
      <c r="F153">
        <v>2E-3</v>
      </c>
      <c r="G153">
        <v>0</v>
      </c>
      <c r="H153">
        <v>129601.9999</v>
      </c>
      <c r="I153">
        <v>9599.9998350000005</v>
      </c>
      <c r="J153">
        <v>120002</v>
      </c>
      <c r="K153">
        <v>9599.9998720000003</v>
      </c>
      <c r="L153">
        <v>632.68219899999997</v>
      </c>
      <c r="N153">
        <v>1</v>
      </c>
      <c r="P153">
        <v>100000</v>
      </c>
      <c r="Q153">
        <v>129601.9999</v>
      </c>
      <c r="S153">
        <v>1</v>
      </c>
      <c r="T153">
        <v>1</v>
      </c>
      <c r="U153">
        <v>1</v>
      </c>
      <c r="V153">
        <v>0</v>
      </c>
      <c r="W153">
        <v>0</v>
      </c>
      <c r="X153">
        <v>0</v>
      </c>
      <c r="Y153">
        <v>-1</v>
      </c>
      <c r="Z153">
        <v>1</v>
      </c>
      <c r="AA153">
        <v>304.54825499999998</v>
      </c>
      <c r="AC153">
        <v>328.08074199999999</v>
      </c>
      <c r="AE153">
        <v>1</v>
      </c>
      <c r="AF153">
        <v>4119</v>
      </c>
      <c r="AH153">
        <v>15</v>
      </c>
      <c r="AJ153">
        <v>16710</v>
      </c>
      <c r="AL153">
        <v>64</v>
      </c>
      <c r="AN153">
        <v>4119</v>
      </c>
      <c r="AO153">
        <v>15</v>
      </c>
      <c r="AP153">
        <v>16710</v>
      </c>
      <c r="AQ153">
        <v>64</v>
      </c>
      <c r="AR153">
        <v>137.80600000000001</v>
      </c>
      <c r="AS153">
        <v>65</v>
      </c>
      <c r="AU153">
        <v>2.1200920000000001</v>
      </c>
    </row>
    <row r="154" spans="1:48" s="1" customFormat="1" x14ac:dyDescent="0.3">
      <c r="A154" s="1" t="s">
        <v>136</v>
      </c>
      <c r="B154" s="1">
        <v>8840.0000689999997</v>
      </c>
      <c r="C154" s="1">
        <v>5.0727000000000001E-2</v>
      </c>
      <c r="D154" s="1">
        <v>1741</v>
      </c>
      <c r="E154" s="1">
        <v>9606</v>
      </c>
      <c r="F154" s="1">
        <v>2E-3</v>
      </c>
      <c r="G154" s="1">
        <v>0</v>
      </c>
      <c r="H154" s="1">
        <v>128844.0001</v>
      </c>
      <c r="I154" s="1">
        <v>8840.0000519999994</v>
      </c>
      <c r="J154" s="1">
        <v>120004</v>
      </c>
      <c r="K154" s="1">
        <v>8840.0000689999997</v>
      </c>
      <c r="L154" s="1">
        <v>3141.136094</v>
      </c>
      <c r="N154" s="1">
        <v>1</v>
      </c>
      <c r="P154" s="1">
        <v>100000</v>
      </c>
      <c r="Q154" s="1">
        <v>128844.0001</v>
      </c>
      <c r="S154" s="1">
        <v>1</v>
      </c>
      <c r="T154" s="1">
        <v>1</v>
      </c>
      <c r="U154" s="1">
        <v>1</v>
      </c>
      <c r="V154" s="1">
        <v>0</v>
      </c>
      <c r="W154" s="1">
        <v>0</v>
      </c>
      <c r="X154" s="1">
        <v>0</v>
      </c>
      <c r="Y154" s="1">
        <v>-1</v>
      </c>
      <c r="Z154" s="1">
        <v>1</v>
      </c>
      <c r="AA154" s="1">
        <v>6.6599919999999999</v>
      </c>
      <c r="AC154" s="1">
        <v>3134.4233749999999</v>
      </c>
      <c r="AE154" s="1">
        <v>1</v>
      </c>
      <c r="AF154" s="1">
        <v>755</v>
      </c>
      <c r="AH154" s="1">
        <v>29</v>
      </c>
      <c r="AJ154" s="1">
        <v>31162</v>
      </c>
      <c r="AL154" s="1">
        <v>1278</v>
      </c>
      <c r="AN154" s="1">
        <v>755</v>
      </c>
      <c r="AO154" s="1">
        <v>29</v>
      </c>
      <c r="AP154" s="1">
        <v>31162</v>
      </c>
      <c r="AQ154" s="1">
        <v>1278</v>
      </c>
      <c r="AR154" s="1">
        <v>2776.107</v>
      </c>
      <c r="AS154" s="1">
        <v>1279</v>
      </c>
      <c r="AU154" s="1">
        <v>2.1705290000000002</v>
      </c>
    </row>
    <row r="155" spans="1:48" x14ac:dyDescent="0.3">
      <c r="A155" t="s">
        <v>164</v>
      </c>
      <c r="B155">
        <v>10834.28537</v>
      </c>
      <c r="C155">
        <v>5.9949000000000002E-2</v>
      </c>
      <c r="D155">
        <v>2714</v>
      </c>
      <c r="E155">
        <v>13286</v>
      </c>
      <c r="F155">
        <v>3.0000000000000001E-3</v>
      </c>
      <c r="G155">
        <v>0</v>
      </c>
      <c r="H155">
        <v>100835.28539999999</v>
      </c>
      <c r="I155">
        <v>10834.28537</v>
      </c>
      <c r="J155">
        <v>90001</v>
      </c>
      <c r="K155">
        <v>10834.28537</v>
      </c>
      <c r="L155">
        <v>670.39157</v>
      </c>
      <c r="M155">
        <v>1674.9048624285715</v>
      </c>
      <c r="N155">
        <v>1</v>
      </c>
      <c r="O155">
        <f>AVERAGE(N155:N161)</f>
        <v>1</v>
      </c>
      <c r="P155">
        <v>100000</v>
      </c>
      <c r="Q155">
        <v>100835.28539999999</v>
      </c>
      <c r="R155">
        <f>SUM(S155:S161)</f>
        <v>7</v>
      </c>
      <c r="S155">
        <v>1</v>
      </c>
      <c r="T155">
        <v>1</v>
      </c>
      <c r="U155">
        <v>1</v>
      </c>
      <c r="V155">
        <v>0</v>
      </c>
      <c r="W155">
        <v>0</v>
      </c>
      <c r="X155">
        <v>0</v>
      </c>
      <c r="Y155">
        <v>-1</v>
      </c>
      <c r="Z155">
        <v>1</v>
      </c>
      <c r="AA155">
        <v>104.99252300000001</v>
      </c>
      <c r="AB155">
        <v>241.82028314285716</v>
      </c>
      <c r="AC155">
        <v>565.33609799999999</v>
      </c>
      <c r="AD155">
        <v>1433.026194</v>
      </c>
      <c r="AE155">
        <v>1</v>
      </c>
      <c r="AF155">
        <v>0</v>
      </c>
      <c r="AG155">
        <f>AVERAGE(AF155:AF161)</f>
        <v>0</v>
      </c>
      <c r="AH155">
        <v>27</v>
      </c>
      <c r="AI155">
        <f>AVERAGE(AH155:AH161)</f>
        <v>42.714285714285715</v>
      </c>
      <c r="AJ155">
        <v>28250</v>
      </c>
      <c r="AK155">
        <f>AVERAGE(AJ155:AJ161)</f>
        <v>134027.42857142858</v>
      </c>
      <c r="AL155">
        <v>70</v>
      </c>
      <c r="AM155">
        <f>AVERAGE(AL155:AL161)</f>
        <v>49.285714285714285</v>
      </c>
      <c r="AN155">
        <v>0</v>
      </c>
      <c r="AO155">
        <v>27</v>
      </c>
      <c r="AP155">
        <v>28250</v>
      </c>
      <c r="AQ155">
        <v>70</v>
      </c>
      <c r="AR155">
        <v>415.83199999999999</v>
      </c>
      <c r="AS155">
        <v>71</v>
      </c>
      <c r="AT155">
        <f>AVERAGE(AS155:AS161)</f>
        <v>50.571428571428569</v>
      </c>
      <c r="AU155">
        <v>5.856789</v>
      </c>
      <c r="AV155">
        <f>AVERAGE(AU155:AU161)</f>
        <v>6.1909017142857135</v>
      </c>
    </row>
    <row r="156" spans="1:48" x14ac:dyDescent="0.3">
      <c r="A156" t="s">
        <v>165</v>
      </c>
      <c r="B156">
        <v>10742.855680000001</v>
      </c>
      <c r="C156">
        <v>6.1497999999999997E-2</v>
      </c>
      <c r="D156">
        <v>2749</v>
      </c>
      <c r="E156">
        <v>13396</v>
      </c>
      <c r="F156">
        <v>4.0000000000000001E-3</v>
      </c>
      <c r="G156">
        <v>0</v>
      </c>
      <c r="H156">
        <v>70749.855679999993</v>
      </c>
      <c r="I156">
        <v>10742.855680000001</v>
      </c>
      <c r="J156">
        <v>60007</v>
      </c>
      <c r="K156">
        <v>10742.855680000001</v>
      </c>
      <c r="L156">
        <v>537.575512</v>
      </c>
      <c r="N156">
        <v>1</v>
      </c>
      <c r="P156">
        <v>70749.855679999993</v>
      </c>
      <c r="Q156">
        <v>70749.855679999993</v>
      </c>
      <c r="S156">
        <v>1</v>
      </c>
      <c r="T156">
        <v>1</v>
      </c>
      <c r="U156">
        <v>1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193.46920299999999</v>
      </c>
      <c r="AC156">
        <v>344.04081100000002</v>
      </c>
      <c r="AE156">
        <v>1</v>
      </c>
      <c r="AF156">
        <v>0</v>
      </c>
      <c r="AH156">
        <v>10</v>
      </c>
      <c r="AJ156">
        <v>38090</v>
      </c>
      <c r="AL156">
        <v>8</v>
      </c>
      <c r="AN156">
        <v>0</v>
      </c>
      <c r="AO156">
        <v>10</v>
      </c>
      <c r="AP156">
        <v>38090</v>
      </c>
      <c r="AQ156">
        <v>8</v>
      </c>
      <c r="AR156">
        <v>66.328999999999994</v>
      </c>
      <c r="AS156">
        <v>9</v>
      </c>
      <c r="AU156">
        <v>7.3698889999999997</v>
      </c>
    </row>
    <row r="157" spans="1:48" x14ac:dyDescent="0.3">
      <c r="A157" t="s">
        <v>166</v>
      </c>
      <c r="B157">
        <v>11434.286190000001</v>
      </c>
      <c r="C157">
        <v>4.5756999999999999E-2</v>
      </c>
      <c r="D157">
        <v>3246</v>
      </c>
      <c r="E157">
        <v>19044</v>
      </c>
      <c r="F157">
        <v>5.0000000000000001E-3</v>
      </c>
      <c r="G157">
        <v>0</v>
      </c>
      <c r="H157">
        <v>81439.286189999999</v>
      </c>
      <c r="I157">
        <v>11434.286190000001</v>
      </c>
      <c r="J157">
        <v>70005</v>
      </c>
      <c r="K157">
        <v>11434.286190000001</v>
      </c>
      <c r="L157">
        <v>1365.969738</v>
      </c>
      <c r="N157">
        <v>1</v>
      </c>
      <c r="P157">
        <v>81439.286189999999</v>
      </c>
      <c r="Q157">
        <v>81439.286189999999</v>
      </c>
      <c r="S157">
        <v>1</v>
      </c>
      <c r="T157">
        <v>1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885.96489899999995</v>
      </c>
      <c r="AC157">
        <v>479.95408200000003</v>
      </c>
      <c r="AE157">
        <v>1</v>
      </c>
      <c r="AF157">
        <v>0</v>
      </c>
      <c r="AH157">
        <v>19</v>
      </c>
      <c r="AJ157">
        <v>67494</v>
      </c>
      <c r="AL157">
        <v>6</v>
      </c>
      <c r="AN157">
        <v>0</v>
      </c>
      <c r="AO157">
        <v>19</v>
      </c>
      <c r="AP157">
        <v>67494</v>
      </c>
      <c r="AQ157">
        <v>6</v>
      </c>
      <c r="AR157">
        <v>43.930999999999997</v>
      </c>
      <c r="AS157">
        <v>8</v>
      </c>
      <c r="AU157">
        <v>5.4913749999999997</v>
      </c>
    </row>
    <row r="158" spans="1:48" x14ac:dyDescent="0.3">
      <c r="A158" t="s">
        <v>167</v>
      </c>
      <c r="B158">
        <v>11450.000319999999</v>
      </c>
      <c r="C158">
        <v>4.3576999999999998E-2</v>
      </c>
      <c r="D158">
        <v>3246</v>
      </c>
      <c r="E158">
        <v>19044</v>
      </c>
      <c r="F158">
        <v>5.0000000000000001E-3</v>
      </c>
      <c r="G158">
        <v>0</v>
      </c>
      <c r="H158">
        <v>91455.000320000006</v>
      </c>
      <c r="I158">
        <v>11450.000319999999</v>
      </c>
      <c r="J158">
        <v>80005</v>
      </c>
      <c r="K158">
        <v>11450.000319999999</v>
      </c>
      <c r="L158">
        <v>1437.435978</v>
      </c>
      <c r="N158">
        <v>1</v>
      </c>
      <c r="P158">
        <v>91455.000320000006</v>
      </c>
      <c r="Q158">
        <v>91455.000320000006</v>
      </c>
      <c r="S158">
        <v>1</v>
      </c>
      <c r="T158">
        <v>1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191.736513</v>
      </c>
      <c r="AC158">
        <v>1245.6508879999999</v>
      </c>
      <c r="AE158">
        <v>1</v>
      </c>
      <c r="AF158">
        <v>0</v>
      </c>
      <c r="AH158">
        <v>36</v>
      </c>
      <c r="AJ158">
        <v>189997</v>
      </c>
      <c r="AL158">
        <v>36</v>
      </c>
      <c r="AN158">
        <v>0</v>
      </c>
      <c r="AO158">
        <v>36</v>
      </c>
      <c r="AP158">
        <v>189997</v>
      </c>
      <c r="AQ158">
        <v>36</v>
      </c>
      <c r="AR158">
        <v>190.351</v>
      </c>
      <c r="AS158">
        <v>37</v>
      </c>
      <c r="AU158">
        <v>5.144622</v>
      </c>
    </row>
    <row r="159" spans="1:48" x14ac:dyDescent="0.3">
      <c r="A159" t="s">
        <v>168</v>
      </c>
      <c r="B159">
        <v>10844.28679</v>
      </c>
      <c r="C159">
        <v>4.6717000000000002E-2</v>
      </c>
      <c r="D159">
        <v>2749</v>
      </c>
      <c r="E159">
        <v>13396</v>
      </c>
      <c r="F159">
        <v>3.0000000000000001E-3</v>
      </c>
      <c r="G159">
        <v>0</v>
      </c>
      <c r="H159">
        <v>70854.286789999998</v>
      </c>
      <c r="I159">
        <v>10844.286749999999</v>
      </c>
      <c r="J159">
        <v>60010</v>
      </c>
      <c r="K159">
        <v>10844.28679</v>
      </c>
      <c r="L159">
        <v>2395.3926149999998</v>
      </c>
      <c r="N159">
        <v>1</v>
      </c>
      <c r="P159">
        <v>70854.286749999999</v>
      </c>
      <c r="Q159">
        <v>70854.286789999998</v>
      </c>
      <c r="S159">
        <v>1</v>
      </c>
      <c r="T159">
        <v>1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118.371067</v>
      </c>
      <c r="AC159">
        <v>2276.9718309999998</v>
      </c>
      <c r="AE159">
        <v>1</v>
      </c>
      <c r="AF159">
        <v>0</v>
      </c>
      <c r="AH159">
        <v>66</v>
      </c>
      <c r="AJ159">
        <v>217466</v>
      </c>
      <c r="AL159">
        <v>155</v>
      </c>
      <c r="AN159">
        <v>0</v>
      </c>
      <c r="AO159">
        <v>66</v>
      </c>
      <c r="AP159">
        <v>217466</v>
      </c>
      <c r="AQ159">
        <v>155</v>
      </c>
      <c r="AR159">
        <v>1094.78</v>
      </c>
      <c r="AS159">
        <v>156</v>
      </c>
      <c r="AU159">
        <v>7.0178209999999996</v>
      </c>
    </row>
    <row r="160" spans="1:48" x14ac:dyDescent="0.3">
      <c r="A160" t="s">
        <v>169</v>
      </c>
      <c r="B160">
        <v>10828.573420000001</v>
      </c>
      <c r="C160">
        <v>5.5062E-2</v>
      </c>
      <c r="D160">
        <v>3246</v>
      </c>
      <c r="E160">
        <v>19044</v>
      </c>
      <c r="F160">
        <v>5.0000000000000001E-3</v>
      </c>
      <c r="G160">
        <v>0</v>
      </c>
      <c r="H160">
        <v>80830.573420000001</v>
      </c>
      <c r="I160">
        <v>10828.573420000001</v>
      </c>
      <c r="J160">
        <v>70002</v>
      </c>
      <c r="K160">
        <v>10828.573420000001</v>
      </c>
      <c r="L160">
        <v>2634.9281139999998</v>
      </c>
      <c r="N160">
        <v>1</v>
      </c>
      <c r="P160">
        <v>80830.573420000001</v>
      </c>
      <c r="Q160">
        <v>80830.573420000001</v>
      </c>
      <c r="S160">
        <v>1</v>
      </c>
      <c r="T160">
        <v>1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169.08058800000001</v>
      </c>
      <c r="AC160">
        <v>2465.787464</v>
      </c>
      <c r="AE160">
        <v>1</v>
      </c>
      <c r="AF160">
        <v>0</v>
      </c>
      <c r="AH160">
        <v>78</v>
      </c>
      <c r="AJ160">
        <v>146932</v>
      </c>
      <c r="AL160">
        <v>13</v>
      </c>
      <c r="AN160">
        <v>0</v>
      </c>
      <c r="AO160">
        <v>78</v>
      </c>
      <c r="AP160">
        <v>146932</v>
      </c>
      <c r="AQ160">
        <v>13</v>
      </c>
      <c r="AR160">
        <v>85.885999999999996</v>
      </c>
      <c r="AS160">
        <v>14</v>
      </c>
      <c r="AU160">
        <v>6.1347139999999998</v>
      </c>
    </row>
    <row r="161" spans="1:48" s="1" customFormat="1" x14ac:dyDescent="0.3">
      <c r="A161" s="1" t="s">
        <v>170</v>
      </c>
      <c r="B161" s="1">
        <v>10782.858319999999</v>
      </c>
      <c r="C161" s="1">
        <v>6.8137000000000003E-2</v>
      </c>
      <c r="D161" s="1">
        <v>2749</v>
      </c>
      <c r="E161" s="1">
        <v>13396</v>
      </c>
      <c r="F161" s="1">
        <v>3.0000000000000001E-3</v>
      </c>
      <c r="G161" s="1">
        <v>0</v>
      </c>
      <c r="H161" s="1">
        <v>70787.858319999999</v>
      </c>
      <c r="I161" s="1">
        <v>10782.858340000001</v>
      </c>
      <c r="J161" s="1">
        <v>60005</v>
      </c>
      <c r="K161" s="1">
        <v>10782.858319999999</v>
      </c>
      <c r="L161" s="1">
        <v>2682.6405100000002</v>
      </c>
      <c r="N161" s="1">
        <v>1</v>
      </c>
      <c r="P161" s="1">
        <v>70787.858340000006</v>
      </c>
      <c r="Q161" s="1">
        <v>70787.858319999999</v>
      </c>
      <c r="S161" s="1">
        <v>1</v>
      </c>
      <c r="T161" s="1">
        <v>1</v>
      </c>
      <c r="U161" s="1">
        <v>1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29.127189000000001</v>
      </c>
      <c r="AC161" s="1">
        <v>2653.442184</v>
      </c>
      <c r="AE161" s="1">
        <v>1</v>
      </c>
      <c r="AF161" s="1">
        <v>0</v>
      </c>
      <c r="AH161" s="1">
        <v>63</v>
      </c>
      <c r="AJ161" s="1">
        <v>249963</v>
      </c>
      <c r="AL161" s="1">
        <v>57</v>
      </c>
      <c r="AN161" s="1">
        <v>0</v>
      </c>
      <c r="AO161" s="1">
        <v>63</v>
      </c>
      <c r="AP161" s="1">
        <v>249963</v>
      </c>
      <c r="AQ161" s="1">
        <v>57</v>
      </c>
      <c r="AR161" s="1">
        <v>372.94499999999999</v>
      </c>
      <c r="AS161" s="1">
        <v>59</v>
      </c>
      <c r="AU161" s="1">
        <v>6.3211019999999998</v>
      </c>
    </row>
    <row r="162" spans="1:48" s="2" customFormat="1" x14ac:dyDescent="0.3">
      <c r="A162" s="2" t="s">
        <v>162</v>
      </c>
      <c r="B162" s="2">
        <v>12430.00188</v>
      </c>
      <c r="C162" s="2">
        <v>8.7515999999999997E-2</v>
      </c>
      <c r="D162" s="2">
        <v>3736</v>
      </c>
      <c r="E162" s="2">
        <v>21960</v>
      </c>
      <c r="F162" s="2">
        <v>6.0000000000000001E-3</v>
      </c>
      <c r="G162" s="2">
        <v>0</v>
      </c>
      <c r="H162" s="2">
        <v>102437.0019</v>
      </c>
      <c r="I162" s="2">
        <v>12430.00186</v>
      </c>
      <c r="J162" s="2">
        <v>90007</v>
      </c>
      <c r="K162" s="2">
        <v>12430.00188</v>
      </c>
      <c r="L162" s="2">
        <v>3112.1605559999998</v>
      </c>
      <c r="M162" s="2">
        <v>3112.1605559999998</v>
      </c>
      <c r="N162" s="2">
        <v>1</v>
      </c>
      <c r="O162" s="2">
        <f>N162</f>
        <v>1</v>
      </c>
      <c r="P162" s="2">
        <v>100000</v>
      </c>
      <c r="Q162" s="2">
        <v>102437.0019</v>
      </c>
      <c r="R162" s="2">
        <f>S162</f>
        <v>1</v>
      </c>
      <c r="S162" s="2">
        <v>1</v>
      </c>
      <c r="T162" s="2">
        <v>1</v>
      </c>
      <c r="U162" s="2">
        <v>1</v>
      </c>
      <c r="V162" s="2">
        <v>0</v>
      </c>
      <c r="W162" s="2">
        <v>0</v>
      </c>
      <c r="X162" s="2">
        <v>0</v>
      </c>
      <c r="Y162" s="2">
        <v>-1</v>
      </c>
      <c r="Z162" s="2">
        <v>1</v>
      </c>
      <c r="AA162" s="2">
        <v>107.203857</v>
      </c>
      <c r="AB162" s="2">
        <v>107.203857</v>
      </c>
      <c r="AC162" s="2">
        <v>3004.8631829999999</v>
      </c>
      <c r="AD162" s="2">
        <v>3004.8631829999999</v>
      </c>
      <c r="AE162" s="2">
        <v>1</v>
      </c>
      <c r="AF162" s="2">
        <v>0</v>
      </c>
      <c r="AG162" s="2">
        <f>AF162</f>
        <v>0</v>
      </c>
      <c r="AH162" s="2">
        <v>91</v>
      </c>
      <c r="AI162" s="2">
        <f>AH162</f>
        <v>91</v>
      </c>
      <c r="AJ162" s="2">
        <v>218100</v>
      </c>
      <c r="AK162" s="2">
        <f>AJ162</f>
        <v>218100</v>
      </c>
      <c r="AL162" s="2">
        <v>43</v>
      </c>
      <c r="AM162" s="2">
        <f>AL162</f>
        <v>43</v>
      </c>
      <c r="AN162" s="2">
        <v>0</v>
      </c>
      <c r="AO162" s="2">
        <v>91</v>
      </c>
      <c r="AP162" s="2">
        <v>218100</v>
      </c>
      <c r="AQ162" s="2">
        <v>43</v>
      </c>
      <c r="AR162" s="2">
        <v>412.685</v>
      </c>
      <c r="AS162" s="2">
        <v>44</v>
      </c>
      <c r="AT162" s="2">
        <f>AS162</f>
        <v>44</v>
      </c>
      <c r="AU162" s="2">
        <v>9.3792050000000007</v>
      </c>
      <c r="AV162" s="2">
        <f>AU162</f>
        <v>9.3792050000000007</v>
      </c>
    </row>
    <row r="163" spans="1:48" x14ac:dyDescent="0.3">
      <c r="A163" t="s">
        <v>163</v>
      </c>
      <c r="B163">
        <v>13907.780769999999</v>
      </c>
      <c r="C163">
        <v>7.9730999999999996E-2</v>
      </c>
      <c r="D163">
        <v>4226</v>
      </c>
      <c r="E163">
        <v>24876</v>
      </c>
      <c r="F163">
        <v>7.0000000000000001E-3</v>
      </c>
      <c r="G163">
        <v>0</v>
      </c>
      <c r="H163">
        <v>113913.78079999999</v>
      </c>
      <c r="I163">
        <v>13907.779699999999</v>
      </c>
      <c r="J163">
        <v>100006</v>
      </c>
      <c r="K163">
        <v>13907.780769999999</v>
      </c>
      <c r="L163">
        <v>2194.3747670000002</v>
      </c>
      <c r="M163">
        <v>2194.3747670000002</v>
      </c>
      <c r="N163">
        <v>1</v>
      </c>
      <c r="O163">
        <f>N163</f>
        <v>1</v>
      </c>
      <c r="P163">
        <v>100000</v>
      </c>
      <c r="Q163">
        <v>113913.78079999999</v>
      </c>
      <c r="R163">
        <f>S163</f>
        <v>1</v>
      </c>
      <c r="S163">
        <v>1</v>
      </c>
      <c r="T163">
        <v>1</v>
      </c>
      <c r="U163">
        <v>1</v>
      </c>
      <c r="V163">
        <v>0</v>
      </c>
      <c r="W163">
        <v>0</v>
      </c>
      <c r="X163">
        <v>0</v>
      </c>
      <c r="Y163">
        <v>-1</v>
      </c>
      <c r="Z163">
        <v>1</v>
      </c>
      <c r="AA163">
        <v>575.02147600000001</v>
      </c>
      <c r="AB163">
        <v>575.02147600000001</v>
      </c>
      <c r="AC163">
        <v>1619.26656</v>
      </c>
      <c r="AD163">
        <v>1619.26656</v>
      </c>
      <c r="AE163">
        <v>1</v>
      </c>
      <c r="AF163">
        <v>0</v>
      </c>
      <c r="AG163">
        <f>AF163</f>
        <v>0</v>
      </c>
      <c r="AH163">
        <v>81</v>
      </c>
      <c r="AI163">
        <f>AH163</f>
        <v>81</v>
      </c>
      <c r="AJ163">
        <v>94840</v>
      </c>
      <c r="AK163">
        <f>AJ163</f>
        <v>94840</v>
      </c>
      <c r="AL163">
        <v>17</v>
      </c>
      <c r="AM163">
        <f>AL163</f>
        <v>17</v>
      </c>
      <c r="AN163">
        <v>0</v>
      </c>
      <c r="AO163">
        <v>81</v>
      </c>
      <c r="AP163">
        <v>94840</v>
      </c>
      <c r="AQ163">
        <v>17</v>
      </c>
      <c r="AR163">
        <v>320.233</v>
      </c>
      <c r="AS163">
        <v>20</v>
      </c>
      <c r="AT163">
        <f>AS163</f>
        <v>20</v>
      </c>
      <c r="AU163">
        <v>16.011649999999999</v>
      </c>
      <c r="AV163">
        <f>AU163</f>
        <v>16.011649999999999</v>
      </c>
    </row>
  </sheetData>
  <autoFilter ref="A1:U163" xr:uid="{00000000-0001-0000-0000-000000000000}"/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79F85-C688-4382-860A-DA1FC2E5634F}">
  <dimension ref="A1:F10"/>
  <sheetViews>
    <sheetView tabSelected="1" workbookViewId="0">
      <selection activeCell="F2" sqref="F2:F10"/>
    </sheetView>
  </sheetViews>
  <sheetFormatPr defaultRowHeight="14" x14ac:dyDescent="0.3"/>
  <cols>
    <col min="1" max="5" width="8.6640625" style="3"/>
  </cols>
  <sheetData>
    <row r="1" spans="1:6" x14ac:dyDescent="0.3">
      <c r="A1" s="3" t="s">
        <v>211</v>
      </c>
      <c r="B1" s="3" t="s">
        <v>210</v>
      </c>
      <c r="C1" s="3" t="s">
        <v>209</v>
      </c>
      <c r="D1" s="3" t="s">
        <v>208</v>
      </c>
      <c r="E1" s="3" t="s">
        <v>207</v>
      </c>
      <c r="F1" s="3" t="s">
        <v>199</v>
      </c>
    </row>
    <row r="2" spans="1:6" x14ac:dyDescent="0.3">
      <c r="A2" s="3">
        <v>10</v>
      </c>
      <c r="B2" s="3">
        <v>30</v>
      </c>
      <c r="C2" s="3">
        <v>0.20182039999999998</v>
      </c>
      <c r="D2" s="3">
        <v>8.0233899999999997E-2</v>
      </c>
      <c r="E2" s="3">
        <v>0.2930567</v>
      </c>
      <c r="F2" s="3">
        <v>1</v>
      </c>
    </row>
    <row r="3" spans="1:6" x14ac:dyDescent="0.3">
      <c r="A3" s="3">
        <v>20</v>
      </c>
      <c r="B3" s="3">
        <v>30</v>
      </c>
      <c r="C3" s="3">
        <v>2.8766217333333328</v>
      </c>
      <c r="D3" s="3">
        <v>1.3639532000000005</v>
      </c>
      <c r="E3" s="3">
        <v>4.2614919999999996</v>
      </c>
      <c r="F3" s="3">
        <v>1</v>
      </c>
    </row>
    <row r="4" spans="1:6" x14ac:dyDescent="0.3">
      <c r="A4" s="3">
        <v>30</v>
      </c>
      <c r="B4" s="3">
        <v>28</v>
      </c>
      <c r="C4" s="3">
        <v>28.200733392857142</v>
      </c>
      <c r="D4" s="3">
        <v>5.2694303214285716</v>
      </c>
      <c r="E4" s="3">
        <v>33.498672214285712</v>
      </c>
      <c r="F4" s="3">
        <v>1</v>
      </c>
    </row>
    <row r="5" spans="1:6" x14ac:dyDescent="0.3">
      <c r="A5" s="3">
        <v>40</v>
      </c>
      <c r="B5" s="3">
        <v>28</v>
      </c>
      <c r="C5" s="3">
        <v>178.62930335714285</v>
      </c>
      <c r="D5" s="3">
        <v>121.4848462857143</v>
      </c>
      <c r="E5" s="3">
        <v>300.15608667857151</v>
      </c>
      <c r="F5" s="3">
        <v>1</v>
      </c>
    </row>
    <row r="6" spans="1:6" x14ac:dyDescent="0.3">
      <c r="A6" s="3">
        <v>50</v>
      </c>
      <c r="B6" s="3">
        <v>24</v>
      </c>
      <c r="C6" s="3">
        <v>498.99737899999997</v>
      </c>
      <c r="D6" s="3">
        <v>696.42485916666681</v>
      </c>
      <c r="E6" s="3">
        <v>1195.4887666249999</v>
      </c>
      <c r="F6" s="3">
        <v>1</v>
      </c>
    </row>
    <row r="7" spans="1:6" x14ac:dyDescent="0.3">
      <c r="A7" s="3">
        <v>60</v>
      </c>
      <c r="B7" s="3">
        <v>13</v>
      </c>
      <c r="C7" s="3">
        <v>159.08658346153845</v>
      </c>
      <c r="D7" s="3">
        <v>1115.9893816923077</v>
      </c>
      <c r="E7" s="3">
        <v>1275.1299782307692</v>
      </c>
      <c r="F7" s="3">
        <v>1</v>
      </c>
    </row>
    <row r="8" spans="1:6" x14ac:dyDescent="0.3">
      <c r="A8" s="3">
        <v>70</v>
      </c>
      <c r="B8" s="3">
        <v>7</v>
      </c>
      <c r="C8" s="3">
        <v>241.82028314285716</v>
      </c>
      <c r="D8" s="3">
        <v>1433.026194</v>
      </c>
      <c r="E8" s="3">
        <v>1674.9048624285715</v>
      </c>
      <c r="F8" s="3">
        <v>1</v>
      </c>
    </row>
    <row r="9" spans="1:6" x14ac:dyDescent="0.3">
      <c r="A9" s="3">
        <v>80</v>
      </c>
      <c r="B9" s="3">
        <v>1</v>
      </c>
      <c r="C9" s="3">
        <v>107.203857</v>
      </c>
      <c r="D9" s="3">
        <v>3004.8631829999999</v>
      </c>
      <c r="E9" s="3">
        <v>3112.1605559999998</v>
      </c>
      <c r="F9" s="3">
        <v>1</v>
      </c>
    </row>
    <row r="10" spans="1:6" x14ac:dyDescent="0.3">
      <c r="A10" s="3">
        <v>90</v>
      </c>
      <c r="B10" s="3">
        <v>1</v>
      </c>
      <c r="C10" s="3">
        <v>575.02147600000001</v>
      </c>
      <c r="D10" s="3">
        <v>1619.26656</v>
      </c>
      <c r="E10" s="3">
        <v>2194.3747670000002</v>
      </c>
      <c r="F10" s="3">
        <v>1</v>
      </c>
    </row>
  </sheetData>
  <autoFilter ref="B1:B10" xr:uid="{54B79F85-C688-4382-860A-DA1FC2E5634F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1110010-Com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Xinyi Guo</dc:creator>
  <cp:lastModifiedBy>Xinyi Guo</cp:lastModifiedBy>
  <dcterms:created xsi:type="dcterms:W3CDTF">2023-12-18T10:53:15Z</dcterms:created>
  <dcterms:modified xsi:type="dcterms:W3CDTF">2024-07-31T15:36:05Z</dcterms:modified>
</cp:coreProperties>
</file>