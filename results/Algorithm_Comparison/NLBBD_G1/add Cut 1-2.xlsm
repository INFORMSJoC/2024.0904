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G1\"/>
    </mc:Choice>
  </mc:AlternateContent>
  <xr:revisionPtr revIDLastSave="0" documentId="13_ncr:1_{DFA388C2-2463-4611-83AD-FB244023BD2C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1100010-Com" sheetId="1" r:id="rId1"/>
    <sheet name="Summary" sheetId="3" r:id="rId2"/>
  </sheets>
  <definedNames>
    <definedName name="_xlnm._FilterDatabase" localSheetId="0" hidden="1">'1100010-Com'!$U$1:$U$227</definedName>
    <definedName name="_xlnm._FilterDatabase" localSheetId="1" hidden="1">Summary!$B$1:$B$6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97" i="1" l="1"/>
  <c r="AI97" i="1"/>
  <c r="AG97" i="1"/>
  <c r="AK92" i="1"/>
  <c r="AI92" i="1"/>
  <c r="AG92" i="1"/>
  <c r="AK62" i="1"/>
  <c r="AI62" i="1"/>
  <c r="AG62" i="1"/>
  <c r="AK32" i="1"/>
  <c r="AI32" i="1"/>
  <c r="AG32" i="1"/>
  <c r="AV97" i="1"/>
  <c r="AT97" i="1"/>
  <c r="AV92" i="1"/>
  <c r="AT92" i="1"/>
  <c r="AV62" i="1"/>
  <c r="AT62" i="1"/>
  <c r="AV32" i="1"/>
  <c r="AT32" i="1"/>
  <c r="AV2" i="1"/>
  <c r="AT2" i="1"/>
  <c r="AK2" i="1"/>
  <c r="AI2" i="1"/>
  <c r="AG2" i="1"/>
  <c r="T2" i="1"/>
  <c r="Q2" i="1"/>
  <c r="T32" i="1"/>
  <c r="Q32" i="1"/>
  <c r="T62" i="1"/>
  <c r="Q62" i="1"/>
  <c r="T92" i="1"/>
  <c r="Q92" i="1"/>
  <c r="Q97" i="1"/>
</calcChain>
</file>

<file path=xl/sharedStrings.xml><?xml version="1.0" encoding="utf-8"?>
<sst xmlns="http://schemas.openxmlformats.org/spreadsheetml/2006/main" count="149" uniqueCount="145">
  <si>
    <t>Ins</t>
  </si>
  <si>
    <t>LB.2nd.Stage</t>
  </si>
  <si>
    <t>Time.LB</t>
  </si>
  <si>
    <t>Num.Nodes</t>
  </si>
  <si>
    <t>Num.Arcs</t>
  </si>
  <si>
    <t>Time.Build.G1</t>
  </si>
  <si>
    <t>Time.Find.SP</t>
  </si>
  <si>
    <t>ShortestPath.Cost</t>
  </si>
  <si>
    <t>Solve optimally by Heu</t>
  </si>
  <si>
    <t>Kahn_Heu is feasible</t>
  </si>
  <si>
    <t>Kahn_SP2 is feasible</t>
  </si>
  <si>
    <t>Obj.MP</t>
  </si>
  <si>
    <t>Obj.SP</t>
  </si>
  <si>
    <t>Total.Time</t>
  </si>
  <si>
    <t>Num.LBBD.Iters</t>
  </si>
  <si>
    <t>UB</t>
  </si>
  <si>
    <t>currentLB</t>
  </si>
  <si>
    <t>OP.Status</t>
  </si>
  <si>
    <t>MP.Status</t>
  </si>
  <si>
    <t>SP.Status</t>
  </si>
  <si>
    <t>Gap</t>
  </si>
  <si>
    <t>MP.gap</t>
  </si>
  <si>
    <t>SP.gap</t>
  </si>
  <si>
    <t>Total.Time.MP</t>
  </si>
  <si>
    <t>Total.Time.SP</t>
  </si>
  <si>
    <t>Num.SP-1.Solved</t>
  </si>
  <si>
    <t>Num.Lazy1</t>
  </si>
  <si>
    <t>Num.Lazy2</t>
  </si>
  <si>
    <t>Num.Lazy3</t>
  </si>
  <si>
    <t>Num.SP-Nogood.Cuts</t>
  </si>
  <si>
    <t>Avg.Num.Lazy1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</si>
  <si>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</si>
  <si>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</si>
  <si>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</si>
  <si>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</si>
  <si>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</si>
  <si>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</si>
  <si>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10_5</t>
  </si>
  <si>
    <t>10_9</t>
  </si>
  <si>
    <t>10_3</t>
  </si>
  <si>
    <t>10_2</t>
  </si>
  <si>
    <t>10_1</t>
  </si>
  <si>
    <t>10_4</t>
  </si>
  <si>
    <t>10_10</t>
  </si>
  <si>
    <t>10_8</t>
  </si>
  <si>
    <t>10_11</t>
  </si>
  <si>
    <t>10_12</t>
  </si>
  <si>
    <t>10_7</t>
  </si>
  <si>
    <t>10_6</t>
  </si>
  <si>
    <t>10_13</t>
  </si>
  <si>
    <t>10_23</t>
  </si>
  <si>
    <t>10_21</t>
  </si>
  <si>
    <t>10_17</t>
  </si>
  <si>
    <t>10_22</t>
  </si>
  <si>
    <t>10_14</t>
  </si>
  <si>
    <t>10_20</t>
  </si>
  <si>
    <t>10_18</t>
  </si>
  <si>
    <t>10_19</t>
  </si>
  <si>
    <t>10_16</t>
  </si>
  <si>
    <t>10_15</t>
  </si>
  <si>
    <t>10_29</t>
  </si>
  <si>
    <t>10_25</t>
  </si>
  <si>
    <t>10_27</t>
  </si>
  <si>
    <t>10_30</t>
  </si>
  <si>
    <t>10_24</t>
  </si>
  <si>
    <t>10_26</t>
  </si>
  <si>
    <t>10_28</t>
  </si>
  <si>
    <t>20_3</t>
  </si>
  <si>
    <t>20_4</t>
  </si>
  <si>
    <t>20_2</t>
  </si>
  <si>
    <t>20_1</t>
  </si>
  <si>
    <t>20_5</t>
  </si>
  <si>
    <t>20_8</t>
  </si>
  <si>
    <t>20_13</t>
  </si>
  <si>
    <t>20_7</t>
  </si>
  <si>
    <t>20_12</t>
  </si>
  <si>
    <t>20_9</t>
  </si>
  <si>
    <t>20_6</t>
  </si>
  <si>
    <t>20_10</t>
  </si>
  <si>
    <t>20_11</t>
  </si>
  <si>
    <t>20_17</t>
  </si>
  <si>
    <t>20_23</t>
  </si>
  <si>
    <t>20_21</t>
  </si>
  <si>
    <t>20_15</t>
  </si>
  <si>
    <t>20_19</t>
  </si>
  <si>
    <t>20_18</t>
  </si>
  <si>
    <t>20_22</t>
  </si>
  <si>
    <t>20_20</t>
  </si>
  <si>
    <t>20_14</t>
  </si>
  <si>
    <t>20_16</t>
  </si>
  <si>
    <t>20_27</t>
  </si>
  <si>
    <t>20_26</t>
  </si>
  <si>
    <t>20_28</t>
  </si>
  <si>
    <t>20_24</t>
  </si>
  <si>
    <t>20_25</t>
  </si>
  <si>
    <t>20_29</t>
  </si>
  <si>
    <t>20_30</t>
  </si>
  <si>
    <t>30_1</t>
  </si>
  <si>
    <t>30_2</t>
  </si>
  <si>
    <t>30_3</t>
  </si>
  <si>
    <t>30_12</t>
  </si>
  <si>
    <t>30_6</t>
  </si>
  <si>
    <t>30_7</t>
  </si>
  <si>
    <t>30_4</t>
  </si>
  <si>
    <t>30_8</t>
  </si>
  <si>
    <t>30_9</t>
  </si>
  <si>
    <t>30_10</t>
  </si>
  <si>
    <t>30_13</t>
  </si>
  <si>
    <t>30_14</t>
  </si>
  <si>
    <t>30_23</t>
  </si>
  <si>
    <t>30_15</t>
  </si>
  <si>
    <t>30_16</t>
  </si>
  <si>
    <t>30_5</t>
  </si>
  <si>
    <t>30_17</t>
  </si>
  <si>
    <t>30_22</t>
  </si>
  <si>
    <t>30_20</t>
  </si>
  <si>
    <t>30_19</t>
  </si>
  <si>
    <t>30_18</t>
  </si>
  <si>
    <t>30_11</t>
  </si>
  <si>
    <t>30_27</t>
  </si>
  <si>
    <t>30_25</t>
  </si>
  <si>
    <t>30_28</t>
  </si>
  <si>
    <t>30_26</t>
  </si>
  <si>
    <t>30_29</t>
  </si>
  <si>
    <t>30_24</t>
  </si>
  <si>
    <t>30_21</t>
  </si>
  <si>
    <t>30_30</t>
  </si>
  <si>
    <t>50_18</t>
  </si>
  <si>
    <t>40_8</t>
  </si>
  <si>
    <t>40_28</t>
  </si>
  <si>
    <t>40_27</t>
  </si>
  <si>
    <t>40_11</t>
  </si>
  <si>
    <t>40_3</t>
  </si>
  <si>
    <t>Num.Ins.Opt</t>
    <phoneticPr fontId="18" type="noConversion"/>
  </si>
  <si>
    <t>Cut1</t>
    <phoneticPr fontId="18" type="noConversion"/>
  </si>
  <si>
    <t>Cut2</t>
    <phoneticPr fontId="18" type="noConversion"/>
  </si>
  <si>
    <t>Cut3</t>
    <phoneticPr fontId="18" type="noConversion"/>
  </si>
  <si>
    <t>Avg.Num.SP-S2</t>
    <phoneticPr fontId="18" type="noConversion"/>
  </si>
  <si>
    <t>Avg.SP-S2.Time</t>
    <phoneticPr fontId="18" type="noConversion"/>
  </si>
  <si>
    <t>Num.Ins.Solved</t>
  </si>
  <si>
    <t>Avg.Total.Time</t>
  </si>
  <si>
    <t>Avg.MP.Time</t>
  </si>
  <si>
    <t>Avg.SP.Time</t>
  </si>
  <si>
    <t>Avg.Nogood.Cut</t>
    <phoneticPr fontId="18" type="noConversion"/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</si>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</sst>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V97"/>
  <sheetViews>
    <sheetView topLeftCell="Z1" workbookViewId="0">
      <selection activeCell="AJ16" sqref="AJ16"/>
    </sheetView>
  </sheetViews>
  <sheetFormatPr defaultRowHeight="14" x14ac:dyDescent="0.3"/>
  <cols>
    <col min="28" max="28" width="12.5" bestFit="1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140</v>
      </c>
      <c r="P1" t="s">
        <v>14</v>
      </c>
      <c r="R1" t="s">
        <v>15</v>
      </c>
      <c r="S1" t="s">
        <v>16</v>
      </c>
      <c r="T1" t="s">
        <v>133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141</v>
      </c>
      <c r="AC1" t="s">
        <v>24</v>
      </c>
      <c r="AD1" t="s">
        <v>142</v>
      </c>
      <c r="AE1" t="s">
        <v>25</v>
      </c>
      <c r="AF1" t="s">
        <v>26</v>
      </c>
      <c r="AG1" t="s">
        <v>134</v>
      </c>
      <c r="AH1" t="s">
        <v>27</v>
      </c>
      <c r="AI1" t="s">
        <v>135</v>
      </c>
      <c r="AJ1" t="s">
        <v>28</v>
      </c>
      <c r="AK1" t="s">
        <v>136</v>
      </c>
      <c r="AL1" t="s">
        <v>29</v>
      </c>
      <c r="AM1" t="s">
        <v>143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137</v>
      </c>
      <c r="AU1" t="s">
        <v>36</v>
      </c>
      <c r="AV1" t="s">
        <v>138</v>
      </c>
    </row>
    <row r="2" spans="1:48" x14ac:dyDescent="0.3">
      <c r="A2" t="s">
        <v>37</v>
      </c>
      <c r="B2">
        <v>1479.9999270000001</v>
      </c>
      <c r="C2">
        <v>9.2379999999999997E-3</v>
      </c>
      <c r="D2">
        <v>1296</v>
      </c>
      <c r="E2">
        <v>3567</v>
      </c>
      <c r="F2">
        <v>0</v>
      </c>
      <c r="G2">
        <v>0</v>
      </c>
      <c r="H2">
        <v>20002</v>
      </c>
      <c r="I2">
        <v>0</v>
      </c>
      <c r="J2">
        <v>0</v>
      </c>
      <c r="K2">
        <v>1</v>
      </c>
      <c r="L2">
        <v>20002</v>
      </c>
      <c r="M2">
        <v>1479.9999270000001</v>
      </c>
      <c r="N2">
        <v>8.8638999999999996E-2</v>
      </c>
      <c r="O2">
        <v>0.1312537</v>
      </c>
      <c r="P2">
        <v>1</v>
      </c>
      <c r="Q2">
        <f>AVERAGE(P2:P31)</f>
        <v>1</v>
      </c>
      <c r="R2">
        <v>21481.999930000002</v>
      </c>
      <c r="S2">
        <v>21481.999930000002</v>
      </c>
      <c r="T2">
        <f>SUM(U2:U31)</f>
        <v>30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  <c r="AB2">
        <v>3.3333333333333335E-5</v>
      </c>
      <c r="AC2">
        <v>7.9400999999999999E-2</v>
      </c>
      <c r="AD2">
        <v>0.11706069999999999</v>
      </c>
      <c r="AE2">
        <v>1</v>
      </c>
      <c r="AF2">
        <v>5</v>
      </c>
      <c r="AG2">
        <f>AVERAGE(AF2:AF31)</f>
        <v>5.5333333333333332</v>
      </c>
      <c r="AH2">
        <v>0</v>
      </c>
      <c r="AI2">
        <f>AVERAGE(AH2:AH31)</f>
        <v>0.5</v>
      </c>
      <c r="AJ2">
        <v>0</v>
      </c>
      <c r="AK2">
        <f>AVERAGE(AJ2:AJ31)</f>
        <v>0</v>
      </c>
      <c r="AL2">
        <v>5</v>
      </c>
      <c r="AM2">
        <v>3.9666666666666668</v>
      </c>
      <c r="AN2">
        <v>5</v>
      </c>
      <c r="AO2">
        <v>0</v>
      </c>
      <c r="AP2">
        <v>0</v>
      </c>
      <c r="AQ2">
        <v>5</v>
      </c>
      <c r="AR2">
        <v>0.02</v>
      </c>
      <c r="AS2">
        <v>7</v>
      </c>
      <c r="AT2">
        <f>AVERAGE(AS2:AS31)</f>
        <v>6.333333333333333</v>
      </c>
      <c r="AU2">
        <v>2.8570000000000002E-3</v>
      </c>
      <c r="AV2">
        <f>AVERAGE(AU2:AU31)</f>
        <v>4.1548666666666682E-3</v>
      </c>
    </row>
    <row r="3" spans="1:48" x14ac:dyDescent="0.3">
      <c r="A3" t="s">
        <v>38</v>
      </c>
      <c r="B3">
        <v>1200.0000419999999</v>
      </c>
      <c r="C3">
        <v>1.064E-2</v>
      </c>
      <c r="D3">
        <v>2267</v>
      </c>
      <c r="E3">
        <v>7086</v>
      </c>
      <c r="F3">
        <v>3.0000000000000001E-3</v>
      </c>
      <c r="G3">
        <v>1E-3</v>
      </c>
      <c r="H3">
        <v>20003</v>
      </c>
      <c r="I3">
        <v>0</v>
      </c>
      <c r="J3">
        <v>0</v>
      </c>
      <c r="K3">
        <v>1</v>
      </c>
      <c r="L3">
        <v>20003</v>
      </c>
      <c r="M3">
        <v>1200.0000419999999</v>
      </c>
      <c r="N3">
        <v>7.5639999999999999E-2</v>
      </c>
      <c r="P3">
        <v>1</v>
      </c>
      <c r="R3">
        <v>21203.000039999999</v>
      </c>
      <c r="S3">
        <v>21203.000039999999</v>
      </c>
      <c r="U3">
        <v>1</v>
      </c>
      <c r="V3">
        <v>1</v>
      </c>
      <c r="W3">
        <v>1</v>
      </c>
      <c r="X3">
        <v>0</v>
      </c>
      <c r="Y3">
        <v>0</v>
      </c>
      <c r="Z3">
        <v>0</v>
      </c>
      <c r="AA3">
        <v>1E-3</v>
      </c>
      <c r="AC3">
        <v>6.0999999999999999E-2</v>
      </c>
      <c r="AE3">
        <v>1</v>
      </c>
      <c r="AF3">
        <v>4</v>
      </c>
      <c r="AH3">
        <v>1</v>
      </c>
      <c r="AJ3">
        <v>0</v>
      </c>
      <c r="AL3">
        <v>0</v>
      </c>
      <c r="AN3">
        <v>4</v>
      </c>
      <c r="AO3">
        <v>1</v>
      </c>
      <c r="AP3">
        <v>0</v>
      </c>
      <c r="AQ3">
        <v>0</v>
      </c>
      <c r="AR3">
        <v>6.0000000000000001E-3</v>
      </c>
      <c r="AS3">
        <v>1</v>
      </c>
      <c r="AU3">
        <v>6.0000000000000001E-3</v>
      </c>
    </row>
    <row r="4" spans="1:48" x14ac:dyDescent="0.3">
      <c r="A4" t="s">
        <v>39</v>
      </c>
      <c r="B4">
        <v>1520.000008</v>
      </c>
      <c r="C4">
        <v>8.6969999999999999E-3</v>
      </c>
      <c r="D4">
        <v>1146</v>
      </c>
      <c r="E4">
        <v>3007</v>
      </c>
      <c r="F4">
        <v>0</v>
      </c>
      <c r="G4">
        <v>0</v>
      </c>
      <c r="H4">
        <v>20002</v>
      </c>
      <c r="I4">
        <v>0</v>
      </c>
      <c r="J4">
        <v>0</v>
      </c>
      <c r="K4">
        <v>1</v>
      </c>
      <c r="L4">
        <v>20002</v>
      </c>
      <c r="M4">
        <v>1519.999992</v>
      </c>
      <c r="N4">
        <v>7.1084999999999995E-2</v>
      </c>
      <c r="P4">
        <v>1</v>
      </c>
      <c r="R4">
        <v>21521.99999</v>
      </c>
      <c r="S4">
        <v>21522.00001</v>
      </c>
      <c r="U4">
        <v>1</v>
      </c>
      <c r="V4">
        <v>1</v>
      </c>
      <c r="W4">
        <v>1</v>
      </c>
      <c r="X4">
        <v>0</v>
      </c>
      <c r="Y4">
        <v>0</v>
      </c>
      <c r="Z4">
        <v>0</v>
      </c>
      <c r="AA4">
        <v>0</v>
      </c>
      <c r="AC4">
        <v>6.2387999999999999E-2</v>
      </c>
      <c r="AE4">
        <v>1</v>
      </c>
      <c r="AF4">
        <v>7</v>
      </c>
      <c r="AH4">
        <v>0</v>
      </c>
      <c r="AJ4">
        <v>0</v>
      </c>
      <c r="AL4">
        <v>2</v>
      </c>
      <c r="AN4">
        <v>7</v>
      </c>
      <c r="AO4">
        <v>0</v>
      </c>
      <c r="AP4">
        <v>0</v>
      </c>
      <c r="AQ4">
        <v>2</v>
      </c>
      <c r="AR4">
        <v>0.01</v>
      </c>
      <c r="AS4">
        <v>4</v>
      </c>
      <c r="AU4">
        <v>2.5000000000000001E-3</v>
      </c>
    </row>
    <row r="5" spans="1:48" x14ac:dyDescent="0.3">
      <c r="A5" t="s">
        <v>40</v>
      </c>
      <c r="B5">
        <v>1600.000033</v>
      </c>
      <c r="C5">
        <v>1.7765E-2</v>
      </c>
      <c r="D5">
        <v>601</v>
      </c>
      <c r="E5">
        <v>1415</v>
      </c>
      <c r="F5">
        <v>0</v>
      </c>
      <c r="G5">
        <v>0</v>
      </c>
      <c r="H5">
        <v>20001</v>
      </c>
      <c r="I5">
        <v>0</v>
      </c>
      <c r="J5">
        <v>0</v>
      </c>
      <c r="K5">
        <v>1</v>
      </c>
      <c r="L5">
        <v>20001</v>
      </c>
      <c r="M5">
        <v>1600.000033</v>
      </c>
      <c r="N5">
        <v>8.7563000000000002E-2</v>
      </c>
      <c r="P5">
        <v>1</v>
      </c>
      <c r="R5">
        <v>21601.000029999999</v>
      </c>
      <c r="S5">
        <v>21601.000029999999</v>
      </c>
      <c r="U5">
        <v>1</v>
      </c>
      <c r="V5">
        <v>1</v>
      </c>
      <c r="W5">
        <v>1</v>
      </c>
      <c r="X5">
        <v>0</v>
      </c>
      <c r="Y5">
        <v>0</v>
      </c>
      <c r="Z5">
        <v>0</v>
      </c>
      <c r="AA5">
        <v>0</v>
      </c>
      <c r="AC5">
        <v>6.9797999999999999E-2</v>
      </c>
      <c r="AE5">
        <v>1</v>
      </c>
      <c r="AF5">
        <v>7</v>
      </c>
      <c r="AH5">
        <v>1</v>
      </c>
      <c r="AJ5">
        <v>0</v>
      </c>
      <c r="AL5">
        <v>1</v>
      </c>
      <c r="AN5">
        <v>7</v>
      </c>
      <c r="AO5">
        <v>1</v>
      </c>
      <c r="AP5">
        <v>0</v>
      </c>
      <c r="AQ5">
        <v>1</v>
      </c>
      <c r="AR5">
        <v>7.0000000000000001E-3</v>
      </c>
      <c r="AS5">
        <v>3</v>
      </c>
      <c r="AU5">
        <v>2.333E-3</v>
      </c>
    </row>
    <row r="6" spans="1:48" x14ac:dyDescent="0.3">
      <c r="A6" t="s">
        <v>41</v>
      </c>
      <c r="B6">
        <v>1470.0000439999999</v>
      </c>
      <c r="C6">
        <v>1.3424E-2</v>
      </c>
      <c r="D6">
        <v>1934</v>
      </c>
      <c r="E6">
        <v>5826</v>
      </c>
      <c r="F6">
        <v>1E-3</v>
      </c>
      <c r="G6">
        <v>0</v>
      </c>
      <c r="H6">
        <v>20003</v>
      </c>
      <c r="I6">
        <v>0</v>
      </c>
      <c r="J6">
        <v>0</v>
      </c>
      <c r="K6">
        <v>1</v>
      </c>
      <c r="L6">
        <v>20003</v>
      </c>
      <c r="M6">
        <v>1470.0000439999999</v>
      </c>
      <c r="N6">
        <v>6.5409999999999996E-2</v>
      </c>
      <c r="P6">
        <v>1</v>
      </c>
      <c r="R6">
        <v>21473.000039999999</v>
      </c>
      <c r="S6">
        <v>21473.000039999999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C6">
        <v>5.0985999999999997E-2</v>
      </c>
      <c r="AE6">
        <v>1</v>
      </c>
      <c r="AF6">
        <v>5</v>
      </c>
      <c r="AH6">
        <v>0</v>
      </c>
      <c r="AJ6">
        <v>0</v>
      </c>
      <c r="AL6">
        <v>0</v>
      </c>
      <c r="AN6">
        <v>5</v>
      </c>
      <c r="AO6">
        <v>0</v>
      </c>
      <c r="AP6">
        <v>0</v>
      </c>
      <c r="AQ6">
        <v>0</v>
      </c>
      <c r="AR6">
        <v>4.0000000000000001E-3</v>
      </c>
      <c r="AS6">
        <v>3</v>
      </c>
      <c r="AU6">
        <v>1.333E-3</v>
      </c>
    </row>
    <row r="7" spans="1:48" x14ac:dyDescent="0.3">
      <c r="A7" t="s">
        <v>42</v>
      </c>
      <c r="B7">
        <v>1479.999898</v>
      </c>
      <c r="C7">
        <v>1.0322E-2</v>
      </c>
      <c r="D7">
        <v>751</v>
      </c>
      <c r="E7">
        <v>1824</v>
      </c>
      <c r="F7">
        <v>0</v>
      </c>
      <c r="G7">
        <v>0</v>
      </c>
      <c r="H7">
        <v>20001</v>
      </c>
      <c r="I7">
        <v>0</v>
      </c>
      <c r="J7">
        <v>0</v>
      </c>
      <c r="K7">
        <v>1</v>
      </c>
      <c r="L7">
        <v>20001</v>
      </c>
      <c r="M7">
        <v>1479.999898</v>
      </c>
      <c r="N7">
        <v>0.14035700000000001</v>
      </c>
      <c r="P7">
        <v>1</v>
      </c>
      <c r="R7">
        <v>21480.999899999999</v>
      </c>
      <c r="S7">
        <v>21480.999899999999</v>
      </c>
      <c r="U7">
        <v>1</v>
      </c>
      <c r="V7">
        <v>1</v>
      </c>
      <c r="W7">
        <v>1</v>
      </c>
      <c r="X7">
        <v>0</v>
      </c>
      <c r="Y7">
        <v>0</v>
      </c>
      <c r="Z7">
        <v>0</v>
      </c>
      <c r="AA7">
        <v>0</v>
      </c>
      <c r="AC7">
        <v>0.13003500000000001</v>
      </c>
      <c r="AE7">
        <v>1</v>
      </c>
      <c r="AF7">
        <v>4</v>
      </c>
      <c r="AH7">
        <v>0</v>
      </c>
      <c r="AJ7">
        <v>0</v>
      </c>
      <c r="AL7">
        <v>5</v>
      </c>
      <c r="AN7">
        <v>4</v>
      </c>
      <c r="AO7">
        <v>0</v>
      </c>
      <c r="AP7">
        <v>0</v>
      </c>
      <c r="AQ7">
        <v>5</v>
      </c>
      <c r="AR7">
        <v>6.9000000000000006E-2</v>
      </c>
      <c r="AS7">
        <v>8</v>
      </c>
      <c r="AU7">
        <v>8.6250000000000007E-3</v>
      </c>
    </row>
    <row r="8" spans="1:48" x14ac:dyDescent="0.3">
      <c r="A8" t="s">
        <v>43</v>
      </c>
      <c r="B8">
        <v>1560.000014</v>
      </c>
      <c r="C8">
        <v>9.0320000000000001E-3</v>
      </c>
      <c r="D8">
        <v>1677</v>
      </c>
      <c r="E8">
        <v>4824</v>
      </c>
      <c r="F8">
        <v>1E-3</v>
      </c>
      <c r="G8">
        <v>0</v>
      </c>
      <c r="H8">
        <v>20002</v>
      </c>
      <c r="I8">
        <v>0</v>
      </c>
      <c r="J8">
        <v>0</v>
      </c>
      <c r="K8">
        <v>1</v>
      </c>
      <c r="L8">
        <v>20002</v>
      </c>
      <c r="M8">
        <v>1560.0000500000001</v>
      </c>
      <c r="N8">
        <v>0.19411699999999998</v>
      </c>
      <c r="P8">
        <v>1</v>
      </c>
      <c r="R8">
        <v>21562.000049999999</v>
      </c>
      <c r="S8">
        <v>21562.00001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>
        <v>0</v>
      </c>
      <c r="AC8">
        <v>0.184085</v>
      </c>
      <c r="AE8">
        <v>1</v>
      </c>
      <c r="AF8">
        <v>17</v>
      </c>
      <c r="AH8">
        <v>0</v>
      </c>
      <c r="AJ8">
        <v>0</v>
      </c>
      <c r="AL8">
        <v>1</v>
      </c>
      <c r="AN8">
        <v>17</v>
      </c>
      <c r="AO8">
        <v>0</v>
      </c>
      <c r="AP8">
        <v>0</v>
      </c>
      <c r="AQ8">
        <v>1</v>
      </c>
      <c r="AR8">
        <v>2.1000000000000001E-2</v>
      </c>
      <c r="AS8">
        <v>3</v>
      </c>
      <c r="AU8">
        <v>7.0000000000000001E-3</v>
      </c>
    </row>
    <row r="9" spans="1:48" x14ac:dyDescent="0.3">
      <c r="A9" t="s">
        <v>44</v>
      </c>
      <c r="B9">
        <v>1549.999961</v>
      </c>
      <c r="C9">
        <v>1.2237E-2</v>
      </c>
      <c r="D9">
        <v>1677</v>
      </c>
      <c r="E9">
        <v>4824</v>
      </c>
      <c r="F9">
        <v>1E-3</v>
      </c>
      <c r="G9">
        <v>0</v>
      </c>
      <c r="H9">
        <v>20002</v>
      </c>
      <c r="I9">
        <v>0</v>
      </c>
      <c r="J9">
        <v>0</v>
      </c>
      <c r="K9">
        <v>1</v>
      </c>
      <c r="L9">
        <v>20002</v>
      </c>
      <c r="M9">
        <v>1549.999961</v>
      </c>
      <c r="N9">
        <v>0.118495</v>
      </c>
      <c r="P9">
        <v>1</v>
      </c>
      <c r="R9">
        <v>21551.999960000001</v>
      </c>
      <c r="S9">
        <v>21551.999960000001</v>
      </c>
      <c r="U9">
        <v>1</v>
      </c>
      <c r="V9">
        <v>1</v>
      </c>
      <c r="W9">
        <v>1</v>
      </c>
      <c r="X9">
        <v>0</v>
      </c>
      <c r="Y9">
        <v>0</v>
      </c>
      <c r="Z9">
        <v>0</v>
      </c>
      <c r="AA9">
        <v>0</v>
      </c>
      <c r="AC9">
        <v>0.105258</v>
      </c>
      <c r="AE9">
        <v>1</v>
      </c>
      <c r="AF9">
        <v>3</v>
      </c>
      <c r="AH9">
        <v>0</v>
      </c>
      <c r="AJ9">
        <v>0</v>
      </c>
      <c r="AL9">
        <v>6</v>
      </c>
      <c r="AN9">
        <v>3</v>
      </c>
      <c r="AO9">
        <v>0</v>
      </c>
      <c r="AP9">
        <v>0</v>
      </c>
      <c r="AQ9">
        <v>6</v>
      </c>
      <c r="AR9">
        <v>4.4999999999999998E-2</v>
      </c>
      <c r="AS9">
        <v>7</v>
      </c>
      <c r="AU9">
        <v>6.4289999999999998E-3</v>
      </c>
    </row>
    <row r="10" spans="1:48" x14ac:dyDescent="0.3">
      <c r="A10" t="s">
        <v>45</v>
      </c>
      <c r="B10">
        <v>1639.9999949999999</v>
      </c>
      <c r="C10">
        <v>9.9439999999999997E-3</v>
      </c>
      <c r="D10">
        <v>1837</v>
      </c>
      <c r="E10">
        <v>5482</v>
      </c>
      <c r="F10">
        <v>1E-3</v>
      </c>
      <c r="G10">
        <v>0</v>
      </c>
      <c r="H10">
        <v>30002</v>
      </c>
      <c r="I10">
        <v>0</v>
      </c>
      <c r="J10">
        <v>0</v>
      </c>
      <c r="K10">
        <v>1</v>
      </c>
      <c r="L10">
        <v>30002</v>
      </c>
      <c r="M10">
        <v>1639.9999949999999</v>
      </c>
      <c r="N10">
        <v>9.6555000000000002E-2</v>
      </c>
      <c r="P10">
        <v>1</v>
      </c>
      <c r="R10">
        <v>31642</v>
      </c>
      <c r="S10">
        <v>31642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>
        <v>0</v>
      </c>
      <c r="AC10">
        <v>8.5611000000000007E-2</v>
      </c>
      <c r="AE10">
        <v>1</v>
      </c>
      <c r="AF10">
        <v>8</v>
      </c>
      <c r="AH10">
        <v>1</v>
      </c>
      <c r="AJ10">
        <v>0</v>
      </c>
      <c r="AL10">
        <v>2</v>
      </c>
      <c r="AN10">
        <v>8</v>
      </c>
      <c r="AO10">
        <v>1</v>
      </c>
      <c r="AP10">
        <v>0</v>
      </c>
      <c r="AQ10">
        <v>2</v>
      </c>
      <c r="AR10">
        <v>2.4E-2</v>
      </c>
      <c r="AS10">
        <v>5</v>
      </c>
      <c r="AU10">
        <v>4.7999999999999996E-3</v>
      </c>
    </row>
    <row r="11" spans="1:48" x14ac:dyDescent="0.3">
      <c r="A11" t="s">
        <v>46</v>
      </c>
      <c r="B11">
        <v>1529.999922</v>
      </c>
      <c r="C11">
        <v>1.0602E-2</v>
      </c>
      <c r="D11">
        <v>1331</v>
      </c>
      <c r="E11">
        <v>3632</v>
      </c>
      <c r="F11">
        <v>0</v>
      </c>
      <c r="G11">
        <v>0</v>
      </c>
      <c r="H11">
        <v>20002</v>
      </c>
      <c r="I11">
        <v>0</v>
      </c>
      <c r="J11">
        <v>0</v>
      </c>
      <c r="K11">
        <v>1</v>
      </c>
      <c r="L11">
        <v>20002</v>
      </c>
      <c r="M11">
        <v>1529.999922</v>
      </c>
      <c r="N11">
        <v>0.14208699999999999</v>
      </c>
      <c r="P11">
        <v>1</v>
      </c>
      <c r="R11">
        <v>21531.999919999998</v>
      </c>
      <c r="S11">
        <v>21531.999919999998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>
        <v>0</v>
      </c>
      <c r="AC11">
        <v>0.13148499999999999</v>
      </c>
      <c r="AE11">
        <v>1</v>
      </c>
      <c r="AF11">
        <v>9</v>
      </c>
      <c r="AH11">
        <v>1</v>
      </c>
      <c r="AJ11">
        <v>0</v>
      </c>
      <c r="AL11">
        <v>2</v>
      </c>
      <c r="AN11">
        <v>9</v>
      </c>
      <c r="AO11">
        <v>1</v>
      </c>
      <c r="AP11">
        <v>0</v>
      </c>
      <c r="AQ11">
        <v>2</v>
      </c>
      <c r="AR11">
        <v>8.0000000000000002E-3</v>
      </c>
      <c r="AS11">
        <v>3</v>
      </c>
      <c r="AU11">
        <v>2.6670000000000001E-3</v>
      </c>
    </row>
    <row r="12" spans="1:48" x14ac:dyDescent="0.3">
      <c r="A12" t="s">
        <v>47</v>
      </c>
      <c r="B12">
        <v>1469.9999660000001</v>
      </c>
      <c r="C12">
        <v>1.1157E-2</v>
      </c>
      <c r="D12">
        <v>1505</v>
      </c>
      <c r="E12">
        <v>4298</v>
      </c>
      <c r="F12">
        <v>1E-3</v>
      </c>
      <c r="G12">
        <v>0</v>
      </c>
      <c r="H12">
        <v>20002</v>
      </c>
      <c r="I12">
        <v>0</v>
      </c>
      <c r="J12">
        <v>0</v>
      </c>
      <c r="K12">
        <v>1</v>
      </c>
      <c r="L12">
        <v>20002</v>
      </c>
      <c r="M12">
        <v>1469.9999660000001</v>
      </c>
      <c r="N12">
        <v>6.8971000000000005E-2</v>
      </c>
      <c r="P12">
        <v>1</v>
      </c>
      <c r="R12">
        <v>21471.999970000001</v>
      </c>
      <c r="S12">
        <v>21471.999970000001</v>
      </c>
      <c r="U12">
        <v>1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C12">
        <v>5.6814000000000003E-2</v>
      </c>
      <c r="AE12">
        <v>1</v>
      </c>
      <c r="AF12">
        <v>2</v>
      </c>
      <c r="AH12">
        <v>0</v>
      </c>
      <c r="AJ12">
        <v>0</v>
      </c>
      <c r="AL12">
        <v>2</v>
      </c>
      <c r="AN12">
        <v>2</v>
      </c>
      <c r="AO12">
        <v>0</v>
      </c>
      <c r="AP12">
        <v>0</v>
      </c>
      <c r="AQ12">
        <v>2</v>
      </c>
      <c r="AR12">
        <v>8.9999999999999993E-3</v>
      </c>
      <c r="AS12">
        <v>4</v>
      </c>
      <c r="AU12">
        <v>2.2499999999999998E-3</v>
      </c>
    </row>
    <row r="13" spans="1:48" x14ac:dyDescent="0.3">
      <c r="A13" t="s">
        <v>48</v>
      </c>
      <c r="B13">
        <v>1479.9999270000001</v>
      </c>
      <c r="C13">
        <v>1.7118999999999999E-2</v>
      </c>
      <c r="D13">
        <v>2197</v>
      </c>
      <c r="E13">
        <v>6806</v>
      </c>
      <c r="F13">
        <v>1E-3</v>
      </c>
      <c r="G13">
        <v>0</v>
      </c>
      <c r="H13">
        <v>20003</v>
      </c>
      <c r="I13">
        <v>0</v>
      </c>
      <c r="J13">
        <v>0</v>
      </c>
      <c r="K13">
        <v>1</v>
      </c>
      <c r="L13">
        <v>20003</v>
      </c>
      <c r="M13">
        <v>1479.9999270000001</v>
      </c>
      <c r="N13">
        <v>9.6766999999999992E-2</v>
      </c>
      <c r="P13">
        <v>1</v>
      </c>
      <c r="R13">
        <v>21482.999930000002</v>
      </c>
      <c r="S13">
        <v>21482.999930000002</v>
      </c>
      <c r="U13">
        <v>1</v>
      </c>
      <c r="V13">
        <v>1</v>
      </c>
      <c r="W13">
        <v>1</v>
      </c>
      <c r="X13">
        <v>0</v>
      </c>
      <c r="Y13">
        <v>0</v>
      </c>
      <c r="Z13">
        <v>0</v>
      </c>
      <c r="AA13">
        <v>0</v>
      </c>
      <c r="AC13">
        <v>7.8647999999999996E-2</v>
      </c>
      <c r="AE13">
        <v>1</v>
      </c>
      <c r="AF13">
        <v>8</v>
      </c>
      <c r="AH13">
        <v>1</v>
      </c>
      <c r="AJ13">
        <v>0</v>
      </c>
      <c r="AL13">
        <v>3</v>
      </c>
      <c r="AN13">
        <v>8</v>
      </c>
      <c r="AO13">
        <v>1</v>
      </c>
      <c r="AP13">
        <v>0</v>
      </c>
      <c r="AQ13">
        <v>3</v>
      </c>
      <c r="AR13">
        <v>1.7000000000000001E-2</v>
      </c>
      <c r="AS13">
        <v>7</v>
      </c>
      <c r="AU13">
        <v>2.4290000000000002E-3</v>
      </c>
    </row>
    <row r="14" spans="1:48" x14ac:dyDescent="0.3">
      <c r="A14" t="s">
        <v>49</v>
      </c>
      <c r="B14">
        <v>1520.0000379999999</v>
      </c>
      <c r="C14">
        <v>9.4990000000000005E-3</v>
      </c>
      <c r="D14">
        <v>1296</v>
      </c>
      <c r="E14">
        <v>3567</v>
      </c>
      <c r="F14">
        <v>0</v>
      </c>
      <c r="G14">
        <v>0</v>
      </c>
      <c r="H14">
        <v>20002</v>
      </c>
      <c r="I14">
        <v>0</v>
      </c>
      <c r="J14">
        <v>0</v>
      </c>
      <c r="K14">
        <v>1</v>
      </c>
      <c r="L14">
        <v>20002</v>
      </c>
      <c r="M14">
        <v>1520.0000379999999</v>
      </c>
      <c r="N14">
        <v>0.17325699999999999</v>
      </c>
      <c r="P14">
        <v>1</v>
      </c>
      <c r="R14">
        <v>21522.000039999999</v>
      </c>
      <c r="S14">
        <v>21522.000039999999</v>
      </c>
      <c r="U14">
        <v>1</v>
      </c>
      <c r="V14">
        <v>1</v>
      </c>
      <c r="W14">
        <v>1</v>
      </c>
      <c r="X14">
        <v>0</v>
      </c>
      <c r="Y14">
        <v>0</v>
      </c>
      <c r="Z14">
        <v>0</v>
      </c>
      <c r="AA14">
        <v>0</v>
      </c>
      <c r="AC14">
        <v>0.16375799999999999</v>
      </c>
      <c r="AE14">
        <v>1</v>
      </c>
      <c r="AF14">
        <v>10</v>
      </c>
      <c r="AH14">
        <v>0</v>
      </c>
      <c r="AJ14">
        <v>0</v>
      </c>
      <c r="AL14">
        <v>5</v>
      </c>
      <c r="AN14">
        <v>10</v>
      </c>
      <c r="AO14">
        <v>0</v>
      </c>
      <c r="AP14">
        <v>0</v>
      </c>
      <c r="AQ14">
        <v>5</v>
      </c>
      <c r="AR14">
        <v>4.4999999999999998E-2</v>
      </c>
      <c r="AS14">
        <v>8</v>
      </c>
      <c r="AU14">
        <v>5.6249999999999998E-3</v>
      </c>
    </row>
    <row r="15" spans="1:48" x14ac:dyDescent="0.3">
      <c r="A15" t="s">
        <v>50</v>
      </c>
      <c r="B15">
        <v>1490.000063</v>
      </c>
      <c r="C15">
        <v>9.6139999999999993E-3</v>
      </c>
      <c r="D15">
        <v>455</v>
      </c>
      <c r="E15">
        <v>945</v>
      </c>
      <c r="F15">
        <v>0</v>
      </c>
      <c r="G15">
        <v>0</v>
      </c>
      <c r="H15">
        <v>20001</v>
      </c>
      <c r="I15">
        <v>0</v>
      </c>
      <c r="J15">
        <v>0</v>
      </c>
      <c r="K15">
        <v>1</v>
      </c>
      <c r="L15">
        <v>20001</v>
      </c>
      <c r="M15">
        <v>1490.000063</v>
      </c>
      <c r="N15">
        <v>0.102022</v>
      </c>
      <c r="P15">
        <v>1</v>
      </c>
      <c r="R15">
        <v>21491.000059999998</v>
      </c>
      <c r="S15">
        <v>21491.000059999998</v>
      </c>
      <c r="U15">
        <v>1</v>
      </c>
      <c r="V15">
        <v>1</v>
      </c>
      <c r="W15">
        <v>1</v>
      </c>
      <c r="X15">
        <v>0</v>
      </c>
      <c r="Y15">
        <v>0</v>
      </c>
      <c r="Z15">
        <v>0</v>
      </c>
      <c r="AA15">
        <v>0</v>
      </c>
      <c r="AC15">
        <v>9.2408000000000004E-2</v>
      </c>
      <c r="AE15">
        <v>1</v>
      </c>
      <c r="AF15">
        <v>5</v>
      </c>
      <c r="AH15">
        <v>0</v>
      </c>
      <c r="AJ15">
        <v>0</v>
      </c>
      <c r="AL15">
        <v>3</v>
      </c>
      <c r="AN15">
        <v>5</v>
      </c>
      <c r="AO15">
        <v>0</v>
      </c>
      <c r="AP15">
        <v>0</v>
      </c>
      <c r="AQ15">
        <v>3</v>
      </c>
      <c r="AR15">
        <v>1.4E-2</v>
      </c>
      <c r="AS15">
        <v>6</v>
      </c>
      <c r="AU15">
        <v>2.333E-3</v>
      </c>
    </row>
    <row r="16" spans="1:48" x14ac:dyDescent="0.3">
      <c r="A16" t="s">
        <v>51</v>
      </c>
      <c r="B16">
        <v>1630.0000190000001</v>
      </c>
      <c r="C16">
        <v>1.1887E-2</v>
      </c>
      <c r="D16">
        <v>957</v>
      </c>
      <c r="E16">
        <v>2290</v>
      </c>
      <c r="F16">
        <v>0</v>
      </c>
      <c r="G16">
        <v>0</v>
      </c>
      <c r="H16">
        <v>20001</v>
      </c>
      <c r="I16">
        <v>0</v>
      </c>
      <c r="J16">
        <v>0</v>
      </c>
      <c r="K16">
        <v>1</v>
      </c>
      <c r="L16">
        <v>20001</v>
      </c>
      <c r="M16">
        <v>1630.0000190000001</v>
      </c>
      <c r="N16">
        <v>6.5363000000000004E-2</v>
      </c>
      <c r="P16">
        <v>1</v>
      </c>
      <c r="R16">
        <v>21631.000019999999</v>
      </c>
      <c r="S16">
        <v>21631.000019999999</v>
      </c>
      <c r="U16">
        <v>1</v>
      </c>
      <c r="V16">
        <v>1</v>
      </c>
      <c r="W16">
        <v>1</v>
      </c>
      <c r="X16">
        <v>0</v>
      </c>
      <c r="Y16">
        <v>0</v>
      </c>
      <c r="Z16">
        <v>0</v>
      </c>
      <c r="AA16">
        <v>0</v>
      </c>
      <c r="AC16">
        <v>5.3476000000000003E-2</v>
      </c>
      <c r="AE16">
        <v>1</v>
      </c>
      <c r="AF16">
        <v>3</v>
      </c>
      <c r="AH16">
        <v>0</v>
      </c>
      <c r="AJ16">
        <v>0</v>
      </c>
      <c r="AL16">
        <v>0</v>
      </c>
      <c r="AN16">
        <v>3</v>
      </c>
      <c r="AO16">
        <v>0</v>
      </c>
      <c r="AP16">
        <v>0</v>
      </c>
      <c r="AQ16">
        <v>0</v>
      </c>
      <c r="AR16">
        <v>4.0000000000000001E-3</v>
      </c>
      <c r="AS16">
        <v>3</v>
      </c>
      <c r="AU16">
        <v>1.333E-3</v>
      </c>
    </row>
    <row r="17" spans="1:48" x14ac:dyDescent="0.3">
      <c r="A17" t="s">
        <v>52</v>
      </c>
      <c r="B17">
        <v>1490.000063</v>
      </c>
      <c r="C17">
        <v>8.7919999999999995E-3</v>
      </c>
      <c r="D17">
        <v>1803</v>
      </c>
      <c r="E17">
        <v>5366</v>
      </c>
      <c r="F17">
        <v>1E-3</v>
      </c>
      <c r="G17">
        <v>0</v>
      </c>
      <c r="H17">
        <v>20003</v>
      </c>
      <c r="I17">
        <v>0</v>
      </c>
      <c r="J17">
        <v>0</v>
      </c>
      <c r="K17">
        <v>1</v>
      </c>
      <c r="L17">
        <v>20003</v>
      </c>
      <c r="M17">
        <v>1490.000063</v>
      </c>
      <c r="N17">
        <v>9.1845999999999997E-2</v>
      </c>
      <c r="P17">
        <v>1</v>
      </c>
      <c r="R17">
        <v>21493.000059999998</v>
      </c>
      <c r="S17">
        <v>21493.000059999998</v>
      </c>
      <c r="U17">
        <v>1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  <c r="AC17">
        <v>8.2054000000000002E-2</v>
      </c>
      <c r="AE17">
        <v>1</v>
      </c>
      <c r="AF17">
        <v>9</v>
      </c>
      <c r="AH17">
        <v>0</v>
      </c>
      <c r="AJ17">
        <v>0</v>
      </c>
      <c r="AL17">
        <v>4</v>
      </c>
      <c r="AN17">
        <v>9</v>
      </c>
      <c r="AO17">
        <v>0</v>
      </c>
      <c r="AP17">
        <v>0</v>
      </c>
      <c r="AQ17">
        <v>4</v>
      </c>
      <c r="AR17">
        <v>0.03</v>
      </c>
      <c r="AS17">
        <v>7</v>
      </c>
      <c r="AU17">
        <v>4.2859999999999999E-3</v>
      </c>
    </row>
    <row r="18" spans="1:48" x14ac:dyDescent="0.3">
      <c r="A18" t="s">
        <v>53</v>
      </c>
      <c r="B18">
        <v>1609.999961</v>
      </c>
      <c r="C18">
        <v>1.081E-2</v>
      </c>
      <c r="D18">
        <v>757</v>
      </c>
      <c r="E18">
        <v>1832</v>
      </c>
      <c r="F18">
        <v>0</v>
      </c>
      <c r="G18">
        <v>0</v>
      </c>
      <c r="H18">
        <v>20001</v>
      </c>
      <c r="I18">
        <v>0</v>
      </c>
      <c r="J18">
        <v>0</v>
      </c>
      <c r="K18">
        <v>1</v>
      </c>
      <c r="L18">
        <v>20001</v>
      </c>
      <c r="M18">
        <v>1609.999961</v>
      </c>
      <c r="N18">
        <v>0.29971900000000001</v>
      </c>
      <c r="P18">
        <v>1</v>
      </c>
      <c r="R18">
        <v>21610.999960000001</v>
      </c>
      <c r="S18">
        <v>21610.999960000001</v>
      </c>
      <c r="U18">
        <v>1</v>
      </c>
      <c r="V18">
        <v>1</v>
      </c>
      <c r="W18">
        <v>1</v>
      </c>
      <c r="X18">
        <v>0</v>
      </c>
      <c r="Y18">
        <v>0</v>
      </c>
      <c r="Z18">
        <v>0</v>
      </c>
      <c r="AA18">
        <v>0</v>
      </c>
      <c r="AC18">
        <v>0.28890900000000003</v>
      </c>
      <c r="AE18">
        <v>1</v>
      </c>
      <c r="AF18">
        <v>9</v>
      </c>
      <c r="AH18">
        <v>1</v>
      </c>
      <c r="AJ18">
        <v>0</v>
      </c>
      <c r="AL18">
        <v>12</v>
      </c>
      <c r="AN18">
        <v>9</v>
      </c>
      <c r="AO18">
        <v>1</v>
      </c>
      <c r="AP18">
        <v>0</v>
      </c>
      <c r="AQ18">
        <v>12</v>
      </c>
      <c r="AR18">
        <v>6.4000000000000001E-2</v>
      </c>
      <c r="AS18">
        <v>14</v>
      </c>
      <c r="AU18">
        <v>4.5710000000000004E-3</v>
      </c>
    </row>
    <row r="19" spans="1:48" x14ac:dyDescent="0.3">
      <c r="A19" t="s">
        <v>54</v>
      </c>
      <c r="B19">
        <v>1609.999961</v>
      </c>
      <c r="C19">
        <v>2.0924000000000002E-2</v>
      </c>
      <c r="D19">
        <v>1252</v>
      </c>
      <c r="E19">
        <v>3395</v>
      </c>
      <c r="F19">
        <v>0</v>
      </c>
      <c r="G19">
        <v>0</v>
      </c>
      <c r="H19">
        <v>20002</v>
      </c>
      <c r="I19">
        <v>0</v>
      </c>
      <c r="J19">
        <v>0</v>
      </c>
      <c r="K19">
        <v>1</v>
      </c>
      <c r="L19">
        <v>20002</v>
      </c>
      <c r="M19">
        <v>1609.999961</v>
      </c>
      <c r="N19">
        <v>0.114984</v>
      </c>
      <c r="P19">
        <v>1</v>
      </c>
      <c r="R19">
        <v>21611.999960000001</v>
      </c>
      <c r="S19">
        <v>21611.999960000001</v>
      </c>
      <c r="U19">
        <v>1</v>
      </c>
      <c r="V19">
        <v>1</v>
      </c>
      <c r="W19">
        <v>1</v>
      </c>
      <c r="X19">
        <v>0</v>
      </c>
      <c r="Y19">
        <v>0</v>
      </c>
      <c r="Z19">
        <v>0</v>
      </c>
      <c r="AA19">
        <v>0</v>
      </c>
      <c r="AC19">
        <v>9.4060000000000005E-2</v>
      </c>
      <c r="AE19">
        <v>1</v>
      </c>
      <c r="AF19">
        <v>2</v>
      </c>
      <c r="AH19">
        <v>0</v>
      </c>
      <c r="AJ19">
        <v>0</v>
      </c>
      <c r="AL19">
        <v>6</v>
      </c>
      <c r="AN19">
        <v>2</v>
      </c>
      <c r="AO19">
        <v>0</v>
      </c>
      <c r="AP19">
        <v>0</v>
      </c>
      <c r="AQ19">
        <v>6</v>
      </c>
      <c r="AR19">
        <v>2.5000000000000001E-2</v>
      </c>
      <c r="AS19">
        <v>9</v>
      </c>
      <c r="AU19">
        <v>2.7780000000000001E-3</v>
      </c>
    </row>
    <row r="20" spans="1:48" x14ac:dyDescent="0.3">
      <c r="A20" t="s">
        <v>55</v>
      </c>
      <c r="B20">
        <v>1569.999965</v>
      </c>
      <c r="C20">
        <v>9.8639999999999995E-3</v>
      </c>
      <c r="D20">
        <v>1325</v>
      </c>
      <c r="E20">
        <v>3606</v>
      </c>
      <c r="F20">
        <v>0</v>
      </c>
      <c r="G20">
        <v>0</v>
      </c>
      <c r="H20">
        <v>30001</v>
      </c>
      <c r="I20">
        <v>0</v>
      </c>
      <c r="J20">
        <v>0</v>
      </c>
      <c r="K20">
        <v>1</v>
      </c>
      <c r="L20">
        <v>30001</v>
      </c>
      <c r="M20">
        <v>1569.999941</v>
      </c>
      <c r="N20">
        <v>5.5909E-2</v>
      </c>
      <c r="P20">
        <v>1</v>
      </c>
      <c r="R20">
        <v>31570.999940000002</v>
      </c>
      <c r="S20">
        <v>31570.999970000001</v>
      </c>
      <c r="U20">
        <v>1</v>
      </c>
      <c r="V20">
        <v>1</v>
      </c>
      <c r="W20">
        <v>1</v>
      </c>
      <c r="X20">
        <v>0</v>
      </c>
      <c r="Y20">
        <v>0</v>
      </c>
      <c r="Z20">
        <v>0</v>
      </c>
      <c r="AA20">
        <v>0</v>
      </c>
      <c r="AC20">
        <v>4.6045000000000003E-2</v>
      </c>
      <c r="AE20">
        <v>1</v>
      </c>
      <c r="AF20">
        <v>3</v>
      </c>
      <c r="AH20">
        <v>0</v>
      </c>
      <c r="AJ20">
        <v>0</v>
      </c>
      <c r="AL20">
        <v>0</v>
      </c>
      <c r="AN20">
        <v>3</v>
      </c>
      <c r="AO20">
        <v>0</v>
      </c>
      <c r="AP20">
        <v>0</v>
      </c>
      <c r="AQ20">
        <v>0</v>
      </c>
      <c r="AR20">
        <v>3.0000000000000001E-3</v>
      </c>
      <c r="AS20">
        <v>2</v>
      </c>
      <c r="AU20">
        <v>1.5E-3</v>
      </c>
    </row>
    <row r="21" spans="1:48" x14ac:dyDescent="0.3">
      <c r="A21" t="s">
        <v>56</v>
      </c>
      <c r="B21">
        <v>1549.999961</v>
      </c>
      <c r="C21">
        <v>2.4178999999999999E-2</v>
      </c>
      <c r="D21">
        <v>354</v>
      </c>
      <c r="E21">
        <v>736</v>
      </c>
      <c r="F21">
        <v>0</v>
      </c>
      <c r="G21">
        <v>0</v>
      </c>
      <c r="H21">
        <v>20001</v>
      </c>
      <c r="I21">
        <v>0</v>
      </c>
      <c r="J21">
        <v>0</v>
      </c>
      <c r="K21">
        <v>1</v>
      </c>
      <c r="L21">
        <v>20001</v>
      </c>
      <c r="M21">
        <v>1549.999961</v>
      </c>
      <c r="N21">
        <v>0.28575899999999999</v>
      </c>
      <c r="P21">
        <v>1</v>
      </c>
      <c r="R21">
        <v>21550.999960000001</v>
      </c>
      <c r="S21">
        <v>21550.999960000001</v>
      </c>
      <c r="U21">
        <v>1</v>
      </c>
      <c r="V21">
        <v>1</v>
      </c>
      <c r="W21">
        <v>1</v>
      </c>
      <c r="X21">
        <v>0</v>
      </c>
      <c r="Y21">
        <v>0</v>
      </c>
      <c r="Z21">
        <v>0</v>
      </c>
      <c r="AA21">
        <v>0</v>
      </c>
      <c r="AC21">
        <v>0.26157999999999998</v>
      </c>
      <c r="AE21">
        <v>1</v>
      </c>
      <c r="AF21">
        <v>4</v>
      </c>
      <c r="AH21">
        <v>0</v>
      </c>
      <c r="AJ21">
        <v>0</v>
      </c>
      <c r="AL21">
        <v>9</v>
      </c>
      <c r="AN21">
        <v>4</v>
      </c>
      <c r="AO21">
        <v>0</v>
      </c>
      <c r="AP21">
        <v>0</v>
      </c>
      <c r="AQ21">
        <v>9</v>
      </c>
      <c r="AR21">
        <v>0.13</v>
      </c>
      <c r="AS21">
        <v>10</v>
      </c>
      <c r="AU21">
        <v>1.2999999999999999E-2</v>
      </c>
    </row>
    <row r="22" spans="1:48" x14ac:dyDescent="0.3">
      <c r="A22" t="s">
        <v>57</v>
      </c>
      <c r="B22">
        <v>1490.000063</v>
      </c>
      <c r="C22">
        <v>9.2359999999999994E-3</v>
      </c>
      <c r="D22">
        <v>1325</v>
      </c>
      <c r="E22">
        <v>3606</v>
      </c>
      <c r="F22">
        <v>0</v>
      </c>
      <c r="G22">
        <v>0</v>
      </c>
      <c r="H22">
        <v>30001</v>
      </c>
      <c r="I22">
        <v>0</v>
      </c>
      <c r="J22">
        <v>0</v>
      </c>
      <c r="K22">
        <v>1</v>
      </c>
      <c r="L22">
        <v>30001</v>
      </c>
      <c r="M22">
        <v>1490.000063</v>
      </c>
      <c r="N22">
        <v>0.152694</v>
      </c>
      <c r="P22">
        <v>1</v>
      </c>
      <c r="R22">
        <v>31491.000059999998</v>
      </c>
      <c r="S22">
        <v>31491.000059999998</v>
      </c>
      <c r="U22">
        <v>1</v>
      </c>
      <c r="V22">
        <v>1</v>
      </c>
      <c r="W22">
        <v>1</v>
      </c>
      <c r="X22">
        <v>0</v>
      </c>
      <c r="Y22">
        <v>0</v>
      </c>
      <c r="Z22">
        <v>0</v>
      </c>
      <c r="AA22">
        <v>0</v>
      </c>
      <c r="AC22">
        <v>0.143458</v>
      </c>
      <c r="AE22">
        <v>1</v>
      </c>
      <c r="AF22">
        <v>0</v>
      </c>
      <c r="AH22">
        <v>2</v>
      </c>
      <c r="AJ22">
        <v>0</v>
      </c>
      <c r="AL22">
        <v>2</v>
      </c>
      <c r="AN22">
        <v>0</v>
      </c>
      <c r="AO22">
        <v>2</v>
      </c>
      <c r="AP22">
        <v>0</v>
      </c>
      <c r="AQ22">
        <v>2</v>
      </c>
      <c r="AR22">
        <v>2.5000000000000001E-2</v>
      </c>
      <c r="AS22">
        <v>5</v>
      </c>
      <c r="AU22">
        <v>5.0000000000000001E-3</v>
      </c>
    </row>
    <row r="23" spans="1:48" x14ac:dyDescent="0.3">
      <c r="A23" t="s">
        <v>58</v>
      </c>
      <c r="B23">
        <v>1630.0000190000001</v>
      </c>
      <c r="C23">
        <v>1.2622E-2</v>
      </c>
      <c r="D23">
        <v>1803</v>
      </c>
      <c r="E23">
        <v>5366</v>
      </c>
      <c r="F23">
        <v>1E-3</v>
      </c>
      <c r="G23">
        <v>0</v>
      </c>
      <c r="H23">
        <v>20003</v>
      </c>
      <c r="I23">
        <v>0</v>
      </c>
      <c r="J23">
        <v>0</v>
      </c>
      <c r="K23">
        <v>1</v>
      </c>
      <c r="L23">
        <v>20003</v>
      </c>
      <c r="M23">
        <v>1630.0000190000001</v>
      </c>
      <c r="N23">
        <v>0.171597</v>
      </c>
      <c r="P23">
        <v>1</v>
      </c>
      <c r="R23">
        <v>21633.000019999999</v>
      </c>
      <c r="S23">
        <v>21633.000019999999</v>
      </c>
      <c r="U23">
        <v>1</v>
      </c>
      <c r="V23">
        <v>1</v>
      </c>
      <c r="W23">
        <v>1</v>
      </c>
      <c r="X23">
        <v>0</v>
      </c>
      <c r="Y23">
        <v>0</v>
      </c>
      <c r="Z23">
        <v>0</v>
      </c>
      <c r="AA23">
        <v>0</v>
      </c>
      <c r="AC23">
        <v>0.157975</v>
      </c>
      <c r="AE23">
        <v>1</v>
      </c>
      <c r="AF23">
        <v>14</v>
      </c>
      <c r="AH23">
        <v>1</v>
      </c>
      <c r="AJ23">
        <v>0</v>
      </c>
      <c r="AL23">
        <v>4</v>
      </c>
      <c r="AN23">
        <v>14</v>
      </c>
      <c r="AO23">
        <v>1</v>
      </c>
      <c r="AP23">
        <v>0</v>
      </c>
      <c r="AQ23">
        <v>4</v>
      </c>
      <c r="AR23">
        <v>3.5999999999999997E-2</v>
      </c>
      <c r="AS23">
        <v>8</v>
      </c>
      <c r="AU23">
        <v>4.4999999999999997E-3</v>
      </c>
    </row>
    <row r="24" spans="1:48" x14ac:dyDescent="0.3">
      <c r="A24" t="s">
        <v>59</v>
      </c>
      <c r="B24">
        <v>1630.0000190000001</v>
      </c>
      <c r="C24">
        <v>1.2501999999999999E-2</v>
      </c>
      <c r="D24">
        <v>2267</v>
      </c>
      <c r="E24">
        <v>7086</v>
      </c>
      <c r="F24">
        <v>1E-3</v>
      </c>
      <c r="G24">
        <v>0</v>
      </c>
      <c r="H24">
        <v>20003</v>
      </c>
      <c r="I24">
        <v>0</v>
      </c>
      <c r="J24">
        <v>0</v>
      </c>
      <c r="K24">
        <v>1</v>
      </c>
      <c r="L24">
        <v>20003</v>
      </c>
      <c r="M24">
        <v>1630.0000190000001</v>
      </c>
      <c r="N24">
        <v>7.0035E-2</v>
      </c>
      <c r="P24">
        <v>1</v>
      </c>
      <c r="R24">
        <v>21633.000019999999</v>
      </c>
      <c r="S24">
        <v>21633.000019999999</v>
      </c>
      <c r="U24">
        <v>1</v>
      </c>
      <c r="V24">
        <v>1</v>
      </c>
      <c r="W24">
        <v>1</v>
      </c>
      <c r="X24">
        <v>0</v>
      </c>
      <c r="Y24">
        <v>0</v>
      </c>
      <c r="Z24">
        <v>0</v>
      </c>
      <c r="AA24">
        <v>0</v>
      </c>
      <c r="AC24">
        <v>5.6533E-2</v>
      </c>
      <c r="AE24">
        <v>1</v>
      </c>
      <c r="AF24">
        <v>0</v>
      </c>
      <c r="AH24">
        <v>0</v>
      </c>
      <c r="AJ24">
        <v>0</v>
      </c>
      <c r="AL24">
        <v>0</v>
      </c>
      <c r="AN24">
        <v>0</v>
      </c>
      <c r="AO24">
        <v>0</v>
      </c>
      <c r="AP24">
        <v>0</v>
      </c>
      <c r="AQ24">
        <v>0</v>
      </c>
      <c r="AR24">
        <v>4.0000000000000001E-3</v>
      </c>
      <c r="AS24">
        <v>2</v>
      </c>
      <c r="AU24">
        <v>2E-3</v>
      </c>
    </row>
    <row r="25" spans="1:48" x14ac:dyDescent="0.3">
      <c r="A25" t="s">
        <v>60</v>
      </c>
      <c r="B25">
        <v>1600.0001010000001</v>
      </c>
      <c r="C25">
        <v>9.7900000000000001E-3</v>
      </c>
      <c r="D25">
        <v>380</v>
      </c>
      <c r="E25">
        <v>802</v>
      </c>
      <c r="F25">
        <v>0</v>
      </c>
      <c r="G25">
        <v>0</v>
      </c>
      <c r="H25">
        <v>20001</v>
      </c>
      <c r="I25">
        <v>0</v>
      </c>
      <c r="J25">
        <v>0</v>
      </c>
      <c r="K25">
        <v>1</v>
      </c>
      <c r="L25">
        <v>20001</v>
      </c>
      <c r="M25">
        <v>1600.0001010000001</v>
      </c>
      <c r="N25">
        <v>7.9300000000000009E-2</v>
      </c>
      <c r="P25">
        <v>1</v>
      </c>
      <c r="R25">
        <v>21601.000100000001</v>
      </c>
      <c r="S25">
        <v>21601.000100000001</v>
      </c>
      <c r="U25">
        <v>1</v>
      </c>
      <c r="V25">
        <v>1</v>
      </c>
      <c r="W25">
        <v>1</v>
      </c>
      <c r="X25">
        <v>0</v>
      </c>
      <c r="Y25">
        <v>0</v>
      </c>
      <c r="Z25">
        <v>0</v>
      </c>
      <c r="AA25">
        <v>0</v>
      </c>
      <c r="AC25">
        <v>6.9510000000000002E-2</v>
      </c>
      <c r="AE25">
        <v>1</v>
      </c>
      <c r="AF25">
        <v>7</v>
      </c>
      <c r="AH25">
        <v>1</v>
      </c>
      <c r="AJ25">
        <v>0</v>
      </c>
      <c r="AL25">
        <v>1</v>
      </c>
      <c r="AN25">
        <v>7</v>
      </c>
      <c r="AO25">
        <v>1</v>
      </c>
      <c r="AP25">
        <v>0</v>
      </c>
      <c r="AQ25">
        <v>1</v>
      </c>
      <c r="AR25">
        <v>7.0000000000000001E-3</v>
      </c>
      <c r="AS25">
        <v>3</v>
      </c>
      <c r="AU25">
        <v>2.333E-3</v>
      </c>
    </row>
    <row r="26" spans="1:48" x14ac:dyDescent="0.3">
      <c r="A26" t="s">
        <v>61</v>
      </c>
      <c r="B26">
        <v>1469.9999150000001</v>
      </c>
      <c r="C26">
        <v>1.6729999999999998E-2</v>
      </c>
      <c r="D26">
        <v>757</v>
      </c>
      <c r="E26">
        <v>1832</v>
      </c>
      <c r="F26">
        <v>0</v>
      </c>
      <c r="G26">
        <v>0</v>
      </c>
      <c r="H26">
        <v>20001</v>
      </c>
      <c r="I26">
        <v>0</v>
      </c>
      <c r="J26">
        <v>0</v>
      </c>
      <c r="K26">
        <v>1</v>
      </c>
      <c r="L26">
        <v>20001</v>
      </c>
      <c r="M26">
        <v>1469.9999150000001</v>
      </c>
      <c r="N26">
        <v>9.9937999999999999E-2</v>
      </c>
      <c r="P26">
        <v>1</v>
      </c>
      <c r="R26">
        <v>21470.999919999998</v>
      </c>
      <c r="S26">
        <v>21470.999919999998</v>
      </c>
      <c r="U26">
        <v>1</v>
      </c>
      <c r="V26">
        <v>1</v>
      </c>
      <c r="W26">
        <v>1</v>
      </c>
      <c r="X26">
        <v>0</v>
      </c>
      <c r="Y26">
        <v>0</v>
      </c>
      <c r="Z26">
        <v>0</v>
      </c>
      <c r="AA26">
        <v>0</v>
      </c>
      <c r="AC26">
        <v>8.3208000000000004E-2</v>
      </c>
      <c r="AE26">
        <v>1</v>
      </c>
      <c r="AF26">
        <v>0</v>
      </c>
      <c r="AH26">
        <v>0</v>
      </c>
      <c r="AJ26">
        <v>0</v>
      </c>
      <c r="AL26">
        <v>6</v>
      </c>
      <c r="AN26">
        <v>0</v>
      </c>
      <c r="AO26">
        <v>0</v>
      </c>
      <c r="AP26">
        <v>0</v>
      </c>
      <c r="AQ26">
        <v>6</v>
      </c>
      <c r="AR26">
        <v>2.1000000000000001E-2</v>
      </c>
      <c r="AS26">
        <v>8</v>
      </c>
      <c r="AU26">
        <v>2.6250000000000002E-3</v>
      </c>
    </row>
    <row r="27" spans="1:48" x14ac:dyDescent="0.3">
      <c r="A27" t="s">
        <v>62</v>
      </c>
      <c r="B27">
        <v>1600.0001010000001</v>
      </c>
      <c r="C27">
        <v>1.4641E-2</v>
      </c>
      <c r="D27">
        <v>2197</v>
      </c>
      <c r="E27">
        <v>6806</v>
      </c>
      <c r="F27">
        <v>1E-3</v>
      </c>
      <c r="G27">
        <v>0</v>
      </c>
      <c r="H27">
        <v>20003</v>
      </c>
      <c r="I27">
        <v>0</v>
      </c>
      <c r="J27">
        <v>0</v>
      </c>
      <c r="K27">
        <v>1</v>
      </c>
      <c r="L27">
        <v>20003</v>
      </c>
      <c r="M27">
        <v>1600.0001010000001</v>
      </c>
      <c r="N27">
        <v>0.246444</v>
      </c>
      <c r="P27">
        <v>1</v>
      </c>
      <c r="R27">
        <v>21603.000100000001</v>
      </c>
      <c r="S27">
        <v>21603.000100000001</v>
      </c>
      <c r="U27">
        <v>1</v>
      </c>
      <c r="V27">
        <v>1</v>
      </c>
      <c r="W27">
        <v>1</v>
      </c>
      <c r="X27">
        <v>0</v>
      </c>
      <c r="Y27">
        <v>0</v>
      </c>
      <c r="Z27">
        <v>0</v>
      </c>
      <c r="AA27">
        <v>0</v>
      </c>
      <c r="AC27">
        <v>0.23080300000000001</v>
      </c>
      <c r="AE27">
        <v>1</v>
      </c>
      <c r="AF27">
        <v>4</v>
      </c>
      <c r="AH27">
        <v>2</v>
      </c>
      <c r="AJ27">
        <v>0</v>
      </c>
      <c r="AL27">
        <v>14</v>
      </c>
      <c r="AN27">
        <v>4</v>
      </c>
      <c r="AO27">
        <v>2</v>
      </c>
      <c r="AP27">
        <v>0</v>
      </c>
      <c r="AQ27">
        <v>14</v>
      </c>
      <c r="AR27">
        <v>0.107</v>
      </c>
      <c r="AS27">
        <v>16</v>
      </c>
      <c r="AU27">
        <v>6.6870000000000002E-3</v>
      </c>
    </row>
    <row r="28" spans="1:48" x14ac:dyDescent="0.3">
      <c r="A28" t="s">
        <v>63</v>
      </c>
      <c r="B28">
        <v>1490.00001</v>
      </c>
      <c r="C28">
        <v>2.8829E-2</v>
      </c>
      <c r="D28">
        <v>1677</v>
      </c>
      <c r="E28">
        <v>4824</v>
      </c>
      <c r="F28">
        <v>1E-3</v>
      </c>
      <c r="G28">
        <v>0</v>
      </c>
      <c r="H28">
        <v>20002</v>
      </c>
      <c r="I28">
        <v>0</v>
      </c>
      <c r="J28">
        <v>0</v>
      </c>
      <c r="K28">
        <v>1</v>
      </c>
      <c r="L28">
        <v>20002</v>
      </c>
      <c r="M28">
        <v>1490.00001</v>
      </c>
      <c r="N28">
        <v>0.230735</v>
      </c>
      <c r="P28">
        <v>1</v>
      </c>
      <c r="R28">
        <v>21492.00001</v>
      </c>
      <c r="S28">
        <v>21492.00001</v>
      </c>
      <c r="U28">
        <v>1</v>
      </c>
      <c r="V28">
        <v>1</v>
      </c>
      <c r="W28">
        <v>1</v>
      </c>
      <c r="X28">
        <v>0</v>
      </c>
      <c r="Y28">
        <v>0</v>
      </c>
      <c r="Z28">
        <v>0</v>
      </c>
      <c r="AA28">
        <v>0</v>
      </c>
      <c r="AC28">
        <v>0.200906</v>
      </c>
      <c r="AE28">
        <v>1</v>
      </c>
      <c r="AF28">
        <v>3</v>
      </c>
      <c r="AH28">
        <v>0</v>
      </c>
      <c r="AJ28">
        <v>0</v>
      </c>
      <c r="AL28">
        <v>8</v>
      </c>
      <c r="AN28">
        <v>3</v>
      </c>
      <c r="AO28">
        <v>0</v>
      </c>
      <c r="AP28">
        <v>0</v>
      </c>
      <c r="AQ28">
        <v>8</v>
      </c>
      <c r="AR28">
        <v>0.04</v>
      </c>
      <c r="AS28">
        <v>11</v>
      </c>
      <c r="AU28">
        <v>3.6359999999999999E-3</v>
      </c>
    </row>
    <row r="29" spans="1:48" x14ac:dyDescent="0.3">
      <c r="A29" t="s">
        <v>64</v>
      </c>
      <c r="B29">
        <v>1479.999951</v>
      </c>
      <c r="C29">
        <v>1.0741000000000001E-2</v>
      </c>
      <c r="D29">
        <v>766</v>
      </c>
      <c r="E29">
        <v>1833</v>
      </c>
      <c r="F29">
        <v>0</v>
      </c>
      <c r="G29">
        <v>0</v>
      </c>
      <c r="H29">
        <v>30001</v>
      </c>
      <c r="I29">
        <v>0</v>
      </c>
      <c r="J29">
        <v>0</v>
      </c>
      <c r="K29">
        <v>1</v>
      </c>
      <c r="L29">
        <v>30001</v>
      </c>
      <c r="M29">
        <v>1479.999951</v>
      </c>
      <c r="N29">
        <v>8.1962999999999994E-2</v>
      </c>
      <c r="P29">
        <v>1</v>
      </c>
      <c r="R29">
        <v>31480.999950000001</v>
      </c>
      <c r="S29">
        <v>31480.999950000001</v>
      </c>
      <c r="U29">
        <v>1</v>
      </c>
      <c r="V29">
        <v>1</v>
      </c>
      <c r="W29">
        <v>1</v>
      </c>
      <c r="X29">
        <v>0</v>
      </c>
      <c r="Y29">
        <v>0</v>
      </c>
      <c r="Z29">
        <v>0</v>
      </c>
      <c r="AA29">
        <v>0</v>
      </c>
      <c r="AC29">
        <v>7.1221999999999994E-2</v>
      </c>
      <c r="AE29">
        <v>1</v>
      </c>
      <c r="AF29">
        <v>2</v>
      </c>
      <c r="AH29">
        <v>0</v>
      </c>
      <c r="AJ29">
        <v>0</v>
      </c>
      <c r="AL29">
        <v>2</v>
      </c>
      <c r="AN29">
        <v>2</v>
      </c>
      <c r="AO29">
        <v>0</v>
      </c>
      <c r="AP29">
        <v>0</v>
      </c>
      <c r="AQ29">
        <v>2</v>
      </c>
      <c r="AR29">
        <v>2.1000000000000001E-2</v>
      </c>
      <c r="AS29">
        <v>4</v>
      </c>
      <c r="AU29">
        <v>5.2500000000000003E-3</v>
      </c>
    </row>
    <row r="30" spans="1:48" x14ac:dyDescent="0.3">
      <c r="A30" t="s">
        <v>65</v>
      </c>
      <c r="B30">
        <v>1479.999951</v>
      </c>
      <c r="C30">
        <v>3.8596999999999999E-2</v>
      </c>
      <c r="D30">
        <v>1580</v>
      </c>
      <c r="E30">
        <v>4519</v>
      </c>
      <c r="F30">
        <v>1E-3</v>
      </c>
      <c r="G30">
        <v>0</v>
      </c>
      <c r="H30">
        <v>20002</v>
      </c>
      <c r="I30">
        <v>0</v>
      </c>
      <c r="J30">
        <v>0</v>
      </c>
      <c r="K30">
        <v>1</v>
      </c>
      <c r="L30">
        <v>20002</v>
      </c>
      <c r="M30">
        <v>1479.999951</v>
      </c>
      <c r="N30">
        <v>0.132019</v>
      </c>
      <c r="P30">
        <v>1</v>
      </c>
      <c r="R30">
        <v>21481.999950000001</v>
      </c>
      <c r="S30">
        <v>21481.999950000001</v>
      </c>
      <c r="U30">
        <v>1</v>
      </c>
      <c r="V30">
        <v>1</v>
      </c>
      <c r="W30">
        <v>1</v>
      </c>
      <c r="X30">
        <v>0</v>
      </c>
      <c r="Y30">
        <v>0</v>
      </c>
      <c r="Z30">
        <v>0</v>
      </c>
      <c r="AA30">
        <v>0</v>
      </c>
      <c r="AC30">
        <v>9.2422000000000004E-2</v>
      </c>
      <c r="AE30">
        <v>1</v>
      </c>
      <c r="AF30">
        <v>7</v>
      </c>
      <c r="AH30">
        <v>2</v>
      </c>
      <c r="AJ30">
        <v>0</v>
      </c>
      <c r="AL30">
        <v>6</v>
      </c>
      <c r="AN30">
        <v>7</v>
      </c>
      <c r="AO30">
        <v>2</v>
      </c>
      <c r="AP30">
        <v>0</v>
      </c>
      <c r="AQ30">
        <v>6</v>
      </c>
      <c r="AR30">
        <v>2.3E-2</v>
      </c>
      <c r="AS30">
        <v>8</v>
      </c>
      <c r="AU30">
        <v>2.875E-3</v>
      </c>
    </row>
    <row r="31" spans="1:48" s="1" customFormat="1" x14ac:dyDescent="0.3">
      <c r="A31" s="1" t="s">
        <v>66</v>
      </c>
      <c r="B31" s="1">
        <v>1489.9998949999999</v>
      </c>
      <c r="C31" s="1">
        <v>1.0356000000000001E-2</v>
      </c>
      <c r="D31" s="1">
        <v>881</v>
      </c>
      <c r="E31" s="1">
        <v>2072</v>
      </c>
      <c r="F31" s="1">
        <v>0</v>
      </c>
      <c r="G31" s="1">
        <v>0</v>
      </c>
      <c r="H31" s="1">
        <v>20001</v>
      </c>
      <c r="I31" s="1">
        <v>0</v>
      </c>
      <c r="J31" s="1">
        <v>0</v>
      </c>
      <c r="K31" s="1">
        <v>1</v>
      </c>
      <c r="L31" s="1">
        <v>20001</v>
      </c>
      <c r="M31" s="1">
        <v>1489.9998949999999</v>
      </c>
      <c r="N31" s="1">
        <v>0.238341</v>
      </c>
      <c r="P31" s="1">
        <v>1</v>
      </c>
      <c r="R31" s="1">
        <v>21490.999899999999</v>
      </c>
      <c r="S31" s="1">
        <v>21490.999899999999</v>
      </c>
      <c r="U31" s="1">
        <v>1</v>
      </c>
      <c r="V31" s="1">
        <v>1</v>
      </c>
      <c r="W31" s="1">
        <v>1</v>
      </c>
      <c r="X31" s="1">
        <v>0</v>
      </c>
      <c r="Y31" s="1">
        <v>0</v>
      </c>
      <c r="Z31" s="1">
        <v>0</v>
      </c>
      <c r="AA31" s="1">
        <v>0</v>
      </c>
      <c r="AC31" s="1">
        <v>0.22798499999999999</v>
      </c>
      <c r="AE31" s="1">
        <v>1</v>
      </c>
      <c r="AF31" s="1">
        <v>5</v>
      </c>
      <c r="AH31" s="1">
        <v>1</v>
      </c>
      <c r="AJ31" s="1">
        <v>0</v>
      </c>
      <c r="AL31" s="1">
        <v>8</v>
      </c>
      <c r="AN31" s="1">
        <v>5</v>
      </c>
      <c r="AO31" s="1">
        <v>1</v>
      </c>
      <c r="AP31" s="1">
        <v>0</v>
      </c>
      <c r="AQ31" s="1">
        <v>8</v>
      </c>
      <c r="AR31" s="1">
        <v>5.6000000000000001E-2</v>
      </c>
      <c r="AS31" s="1">
        <v>11</v>
      </c>
      <c r="AU31" s="1">
        <v>5.091E-3</v>
      </c>
    </row>
    <row r="32" spans="1:48" x14ac:dyDescent="0.3">
      <c r="A32" t="s">
        <v>67</v>
      </c>
      <c r="B32">
        <v>3119.9998260000002</v>
      </c>
      <c r="C32">
        <v>1.8249000000000001E-2</v>
      </c>
      <c r="D32">
        <v>25872</v>
      </c>
      <c r="E32">
        <v>89943</v>
      </c>
      <c r="F32">
        <v>2.5999999999999999E-2</v>
      </c>
      <c r="G32">
        <v>5.0000000000000001E-3</v>
      </c>
      <c r="H32">
        <v>40001</v>
      </c>
      <c r="I32">
        <v>0</v>
      </c>
      <c r="J32">
        <v>0</v>
      </c>
      <c r="K32">
        <v>1</v>
      </c>
      <c r="L32">
        <v>40001</v>
      </c>
      <c r="M32">
        <v>3119.9998260000002</v>
      </c>
      <c r="N32">
        <v>1.805528</v>
      </c>
      <c r="O32">
        <v>3.3037122333333335</v>
      </c>
      <c r="P32">
        <v>1</v>
      </c>
      <c r="Q32">
        <f>AVERAGE(P32:P61)</f>
        <v>1</v>
      </c>
      <c r="R32">
        <v>43120.999830000001</v>
      </c>
      <c r="S32">
        <v>43120.999830000001</v>
      </c>
      <c r="T32">
        <f>SUM(U32:U61)</f>
        <v>30</v>
      </c>
      <c r="U32">
        <v>1</v>
      </c>
      <c r="V32">
        <v>1</v>
      </c>
      <c r="W32">
        <v>1</v>
      </c>
      <c r="X32">
        <v>0</v>
      </c>
      <c r="Y32">
        <v>0</v>
      </c>
      <c r="Z32">
        <v>0</v>
      </c>
      <c r="AA32">
        <v>5.0000000000000001E-3</v>
      </c>
      <c r="AB32">
        <v>7.4000000000000012E-3</v>
      </c>
      <c r="AC32">
        <v>1.7562789999999999</v>
      </c>
      <c r="AD32">
        <v>3.2449393999999994</v>
      </c>
      <c r="AE32">
        <v>1</v>
      </c>
      <c r="AF32">
        <v>202</v>
      </c>
      <c r="AG32">
        <f>AVERAGE(AF32:AF61)</f>
        <v>274.23333333333335</v>
      </c>
      <c r="AH32">
        <v>1</v>
      </c>
      <c r="AI32">
        <f>AVERAGE(AH32:AH61)</f>
        <v>2.0666666666666669</v>
      </c>
      <c r="AJ32">
        <v>0</v>
      </c>
      <c r="AK32">
        <f>AVERAGE(AJ32:AJ61)</f>
        <v>0</v>
      </c>
      <c r="AL32">
        <v>19</v>
      </c>
      <c r="AM32">
        <v>66.099999999999994</v>
      </c>
      <c r="AN32">
        <v>202</v>
      </c>
      <c r="AO32">
        <v>1</v>
      </c>
      <c r="AP32">
        <v>0</v>
      </c>
      <c r="AQ32">
        <v>19</v>
      </c>
      <c r="AR32">
        <v>0.70499999999999996</v>
      </c>
      <c r="AS32">
        <v>21</v>
      </c>
      <c r="AT32">
        <f>AVERAGE(AS32:AS61)</f>
        <v>67.233333333333334</v>
      </c>
      <c r="AU32">
        <v>3.3570999999999997E-2</v>
      </c>
      <c r="AV32">
        <f>AVERAGE(AU32:AU61)</f>
        <v>4.0973233333333338E-2</v>
      </c>
    </row>
    <row r="33" spans="1:47" x14ac:dyDescent="0.3">
      <c r="A33" t="s">
        <v>68</v>
      </c>
      <c r="B33">
        <v>3019.999945</v>
      </c>
      <c r="C33">
        <v>1.8561000000000001E-2</v>
      </c>
      <c r="D33">
        <v>15507</v>
      </c>
      <c r="E33">
        <v>46641</v>
      </c>
      <c r="F33">
        <v>1.2E-2</v>
      </c>
      <c r="G33">
        <v>2E-3</v>
      </c>
      <c r="H33">
        <v>40001</v>
      </c>
      <c r="I33">
        <v>0</v>
      </c>
      <c r="J33">
        <v>0</v>
      </c>
      <c r="K33">
        <v>1</v>
      </c>
      <c r="L33">
        <v>40001</v>
      </c>
      <c r="M33">
        <v>3019.999945</v>
      </c>
      <c r="N33">
        <v>3.16222</v>
      </c>
      <c r="P33">
        <v>1</v>
      </c>
      <c r="R33">
        <v>43020.999949999998</v>
      </c>
      <c r="S33">
        <v>43020.999949999998</v>
      </c>
      <c r="U33">
        <v>1</v>
      </c>
      <c r="V33">
        <v>1</v>
      </c>
      <c r="W33">
        <v>1</v>
      </c>
      <c r="X33">
        <v>0</v>
      </c>
      <c r="Y33">
        <v>0</v>
      </c>
      <c r="Z33">
        <v>0</v>
      </c>
      <c r="AA33">
        <v>2E-3</v>
      </c>
      <c r="AC33">
        <v>3.1296590000000002</v>
      </c>
      <c r="AE33">
        <v>1</v>
      </c>
      <c r="AF33">
        <v>158</v>
      </c>
      <c r="AH33">
        <v>0</v>
      </c>
      <c r="AJ33">
        <v>0</v>
      </c>
      <c r="AL33">
        <v>26</v>
      </c>
      <c r="AN33">
        <v>158</v>
      </c>
      <c r="AO33">
        <v>0</v>
      </c>
      <c r="AP33">
        <v>0</v>
      </c>
      <c r="AQ33">
        <v>26</v>
      </c>
      <c r="AR33">
        <v>2.0089999999999999</v>
      </c>
      <c r="AS33">
        <v>27</v>
      </c>
      <c r="AU33">
        <v>7.4407000000000001E-2</v>
      </c>
    </row>
    <row r="34" spans="1:47" x14ac:dyDescent="0.3">
      <c r="A34" t="s">
        <v>69</v>
      </c>
      <c r="B34">
        <v>3039.9996310000001</v>
      </c>
      <c r="C34">
        <v>2.4282999999999999E-2</v>
      </c>
      <c r="D34">
        <v>28296</v>
      </c>
      <c r="E34">
        <v>98165</v>
      </c>
      <c r="F34">
        <v>2.8000000000000001E-2</v>
      </c>
      <c r="G34">
        <v>6.0000000000000001E-3</v>
      </c>
      <c r="H34">
        <v>40001</v>
      </c>
      <c r="I34">
        <v>0</v>
      </c>
      <c r="J34">
        <v>0</v>
      </c>
      <c r="K34">
        <v>1</v>
      </c>
      <c r="L34">
        <v>40001</v>
      </c>
      <c r="M34">
        <v>3039.9996059999999</v>
      </c>
      <c r="N34">
        <v>3.2293479999999999</v>
      </c>
      <c r="P34">
        <v>1</v>
      </c>
      <c r="R34">
        <v>43040.999609999999</v>
      </c>
      <c r="S34">
        <v>43040.999629999998</v>
      </c>
      <c r="U34">
        <v>1</v>
      </c>
      <c r="V34">
        <v>1</v>
      </c>
      <c r="W34">
        <v>1</v>
      </c>
      <c r="X34">
        <v>0</v>
      </c>
      <c r="Y34">
        <v>0</v>
      </c>
      <c r="Z34">
        <v>0</v>
      </c>
      <c r="AA34">
        <v>6.0000000000000001E-3</v>
      </c>
      <c r="AC34">
        <v>3.171065</v>
      </c>
      <c r="AE34">
        <v>1</v>
      </c>
      <c r="AF34">
        <v>133</v>
      </c>
      <c r="AH34">
        <v>4</v>
      </c>
      <c r="AJ34">
        <v>0</v>
      </c>
      <c r="AL34">
        <v>78</v>
      </c>
      <c r="AN34">
        <v>133</v>
      </c>
      <c r="AO34">
        <v>4</v>
      </c>
      <c r="AP34">
        <v>0</v>
      </c>
      <c r="AQ34">
        <v>78</v>
      </c>
      <c r="AR34">
        <v>2.157</v>
      </c>
      <c r="AS34">
        <v>79</v>
      </c>
      <c r="AU34">
        <v>2.7303999999999998E-2</v>
      </c>
    </row>
    <row r="35" spans="1:47" x14ac:dyDescent="0.3">
      <c r="A35" t="s">
        <v>70</v>
      </c>
      <c r="B35">
        <v>3220.0001419999999</v>
      </c>
      <c r="C35">
        <v>2.4351999999999999E-2</v>
      </c>
      <c r="D35">
        <v>27338</v>
      </c>
      <c r="E35">
        <v>94019</v>
      </c>
      <c r="F35">
        <v>2.5999999999999999E-2</v>
      </c>
      <c r="G35">
        <v>6.0000000000000001E-3</v>
      </c>
      <c r="H35">
        <v>50001</v>
      </c>
      <c r="I35">
        <v>0</v>
      </c>
      <c r="J35">
        <v>0</v>
      </c>
      <c r="K35">
        <v>1</v>
      </c>
      <c r="L35">
        <v>50001</v>
      </c>
      <c r="M35">
        <v>3220.0001419999999</v>
      </c>
      <c r="N35">
        <v>2.0074290000000001</v>
      </c>
      <c r="P35">
        <v>1</v>
      </c>
      <c r="R35">
        <v>53221.000139999996</v>
      </c>
      <c r="S35">
        <v>53221.000139999996</v>
      </c>
      <c r="U35">
        <v>1</v>
      </c>
      <c r="V35">
        <v>1</v>
      </c>
      <c r="W35">
        <v>1</v>
      </c>
      <c r="X35">
        <v>0</v>
      </c>
      <c r="Y35">
        <v>0</v>
      </c>
      <c r="Z35">
        <v>0</v>
      </c>
      <c r="AA35">
        <v>6.0000000000000001E-3</v>
      </c>
      <c r="AC35">
        <v>1.951077</v>
      </c>
      <c r="AE35">
        <v>1</v>
      </c>
      <c r="AF35">
        <v>185</v>
      </c>
      <c r="AH35">
        <v>1</v>
      </c>
      <c r="AJ35">
        <v>0</v>
      </c>
      <c r="AL35">
        <v>37</v>
      </c>
      <c r="AN35">
        <v>185</v>
      </c>
      <c r="AO35">
        <v>1</v>
      </c>
      <c r="AP35">
        <v>0</v>
      </c>
      <c r="AQ35">
        <v>37</v>
      </c>
      <c r="AR35">
        <v>1.276</v>
      </c>
      <c r="AS35">
        <v>38</v>
      </c>
      <c r="AU35">
        <v>3.3578999999999998E-2</v>
      </c>
    </row>
    <row r="36" spans="1:47" x14ac:dyDescent="0.3">
      <c r="A36" t="s">
        <v>71</v>
      </c>
      <c r="B36">
        <v>2959.9999459999999</v>
      </c>
      <c r="C36">
        <v>5.774E-2</v>
      </c>
      <c r="D36">
        <v>25781</v>
      </c>
      <c r="E36">
        <v>88236</v>
      </c>
      <c r="F36">
        <v>2.5000000000000001E-2</v>
      </c>
      <c r="G36">
        <v>6.0000000000000001E-3</v>
      </c>
      <c r="H36">
        <v>50001</v>
      </c>
      <c r="I36">
        <v>0</v>
      </c>
      <c r="J36">
        <v>0</v>
      </c>
      <c r="K36">
        <v>1</v>
      </c>
      <c r="L36">
        <v>50001</v>
      </c>
      <c r="M36">
        <v>2959.999926</v>
      </c>
      <c r="N36">
        <v>0.71455900000000006</v>
      </c>
      <c r="P36">
        <v>1</v>
      </c>
      <c r="R36">
        <v>52960.999929999998</v>
      </c>
      <c r="S36">
        <v>52960.999949999998</v>
      </c>
      <c r="U36">
        <v>1</v>
      </c>
      <c r="V36">
        <v>1</v>
      </c>
      <c r="W36">
        <v>1</v>
      </c>
      <c r="X36">
        <v>0</v>
      </c>
      <c r="Y36">
        <v>0</v>
      </c>
      <c r="Z36">
        <v>0</v>
      </c>
      <c r="AA36">
        <v>6.0000000000000001E-3</v>
      </c>
      <c r="AC36">
        <v>0.62581900000000001</v>
      </c>
      <c r="AE36">
        <v>1</v>
      </c>
      <c r="AF36">
        <v>33</v>
      </c>
      <c r="AH36">
        <v>0</v>
      </c>
      <c r="AJ36">
        <v>0</v>
      </c>
      <c r="AL36">
        <v>5</v>
      </c>
      <c r="AN36">
        <v>33</v>
      </c>
      <c r="AO36">
        <v>0</v>
      </c>
      <c r="AP36">
        <v>0</v>
      </c>
      <c r="AQ36">
        <v>5</v>
      </c>
      <c r="AR36">
        <v>0.17899999999999999</v>
      </c>
      <c r="AS36">
        <v>6</v>
      </c>
      <c r="AU36">
        <v>2.9832999999999998E-2</v>
      </c>
    </row>
    <row r="37" spans="1:47" x14ac:dyDescent="0.3">
      <c r="A37" t="s">
        <v>72</v>
      </c>
      <c r="B37">
        <v>3120.0000030000001</v>
      </c>
      <c r="C37">
        <v>1.8124000000000001E-2</v>
      </c>
      <c r="D37">
        <v>26835</v>
      </c>
      <c r="E37">
        <v>96196</v>
      </c>
      <c r="F37">
        <v>2.7E-2</v>
      </c>
      <c r="G37">
        <v>6.0000000000000001E-3</v>
      </c>
      <c r="H37">
        <v>40003</v>
      </c>
      <c r="I37">
        <v>0</v>
      </c>
      <c r="J37">
        <v>0</v>
      </c>
      <c r="K37">
        <v>1</v>
      </c>
      <c r="L37">
        <v>40003</v>
      </c>
      <c r="M37">
        <v>3120.0000030000001</v>
      </c>
      <c r="N37">
        <v>0.90387299999999993</v>
      </c>
      <c r="P37">
        <v>1</v>
      </c>
      <c r="R37">
        <v>43123</v>
      </c>
      <c r="S37">
        <v>43123</v>
      </c>
      <c r="U37">
        <v>1</v>
      </c>
      <c r="V37">
        <v>1</v>
      </c>
      <c r="W37">
        <v>1</v>
      </c>
      <c r="X37">
        <v>0</v>
      </c>
      <c r="Y37">
        <v>0</v>
      </c>
      <c r="Z37">
        <v>0</v>
      </c>
      <c r="AA37">
        <v>6.0000000000000001E-3</v>
      </c>
      <c r="AC37">
        <v>0.85274899999999998</v>
      </c>
      <c r="AE37">
        <v>1</v>
      </c>
      <c r="AF37">
        <v>35</v>
      </c>
      <c r="AH37">
        <v>0</v>
      </c>
      <c r="AJ37">
        <v>0</v>
      </c>
      <c r="AL37">
        <v>7</v>
      </c>
      <c r="AN37">
        <v>35</v>
      </c>
      <c r="AO37">
        <v>0</v>
      </c>
      <c r="AP37">
        <v>0</v>
      </c>
      <c r="AQ37">
        <v>7</v>
      </c>
      <c r="AR37">
        <v>0.39500000000000002</v>
      </c>
      <c r="AS37">
        <v>8</v>
      </c>
      <c r="AU37">
        <v>4.9375000000000002E-2</v>
      </c>
    </row>
    <row r="38" spans="1:47" x14ac:dyDescent="0.3">
      <c r="A38" t="s">
        <v>73</v>
      </c>
      <c r="B38">
        <v>3019.9999630000002</v>
      </c>
      <c r="C38">
        <v>2.3014E-2</v>
      </c>
      <c r="D38">
        <v>31670</v>
      </c>
      <c r="E38">
        <v>112575</v>
      </c>
      <c r="F38">
        <v>3.2000000000000001E-2</v>
      </c>
      <c r="G38">
        <v>0.01</v>
      </c>
      <c r="H38">
        <v>40001</v>
      </c>
      <c r="I38">
        <v>0</v>
      </c>
      <c r="J38">
        <v>0</v>
      </c>
      <c r="K38">
        <v>1</v>
      </c>
      <c r="L38">
        <v>40001</v>
      </c>
      <c r="M38">
        <v>3019.9999389999998</v>
      </c>
      <c r="N38">
        <v>0.98558500000000004</v>
      </c>
      <c r="P38">
        <v>1</v>
      </c>
      <c r="R38">
        <v>43020.999940000002</v>
      </c>
      <c r="S38">
        <v>43020.999960000001</v>
      </c>
      <c r="U38">
        <v>1</v>
      </c>
      <c r="V38">
        <v>1</v>
      </c>
      <c r="W38">
        <v>1</v>
      </c>
      <c r="X38">
        <v>0</v>
      </c>
      <c r="Y38">
        <v>0</v>
      </c>
      <c r="Z38">
        <v>0</v>
      </c>
      <c r="AA38">
        <v>0.01</v>
      </c>
      <c r="AC38">
        <v>0.92057100000000003</v>
      </c>
      <c r="AE38">
        <v>1</v>
      </c>
      <c r="AF38">
        <v>244</v>
      </c>
      <c r="AH38">
        <v>0</v>
      </c>
      <c r="AJ38">
        <v>0</v>
      </c>
      <c r="AL38">
        <v>0</v>
      </c>
      <c r="AN38">
        <v>244</v>
      </c>
      <c r="AO38">
        <v>0</v>
      </c>
      <c r="AP38">
        <v>0</v>
      </c>
      <c r="AQ38">
        <v>0</v>
      </c>
      <c r="AR38">
        <v>0.104</v>
      </c>
      <c r="AS38">
        <v>2</v>
      </c>
      <c r="AU38">
        <v>5.1999999999999998E-2</v>
      </c>
    </row>
    <row r="39" spans="1:47" x14ac:dyDescent="0.3">
      <c r="A39" t="s">
        <v>74</v>
      </c>
      <c r="B39">
        <v>3019.9997720000001</v>
      </c>
      <c r="C39">
        <v>1.8076999999999999E-2</v>
      </c>
      <c r="D39">
        <v>15312</v>
      </c>
      <c r="E39">
        <v>49344</v>
      </c>
      <c r="F39">
        <v>1.2999999999999999E-2</v>
      </c>
      <c r="G39">
        <v>2E-3</v>
      </c>
      <c r="H39">
        <v>40002</v>
      </c>
      <c r="I39">
        <v>0</v>
      </c>
      <c r="J39">
        <v>0</v>
      </c>
      <c r="K39">
        <v>1</v>
      </c>
      <c r="L39">
        <v>40002</v>
      </c>
      <c r="M39">
        <v>3019.9997680000001</v>
      </c>
      <c r="N39">
        <v>0.54234599999999999</v>
      </c>
      <c r="P39">
        <v>1</v>
      </c>
      <c r="R39">
        <v>43021.999770000002</v>
      </c>
      <c r="S39">
        <v>43021.999770000002</v>
      </c>
      <c r="U39">
        <v>1</v>
      </c>
      <c r="V39">
        <v>1</v>
      </c>
      <c r="W39">
        <v>1</v>
      </c>
      <c r="X39">
        <v>0</v>
      </c>
      <c r="Y39">
        <v>0</v>
      </c>
      <c r="Z39">
        <v>0</v>
      </c>
      <c r="AA39">
        <v>2E-3</v>
      </c>
      <c r="AC39">
        <v>0.50926899999999997</v>
      </c>
      <c r="AE39">
        <v>1</v>
      </c>
      <c r="AF39">
        <v>80</v>
      </c>
      <c r="AH39">
        <v>0</v>
      </c>
      <c r="AJ39">
        <v>0</v>
      </c>
      <c r="AL39">
        <v>0</v>
      </c>
      <c r="AN39">
        <v>80</v>
      </c>
      <c r="AO39">
        <v>0</v>
      </c>
      <c r="AP39">
        <v>0</v>
      </c>
      <c r="AQ39">
        <v>0</v>
      </c>
      <c r="AR39">
        <v>3.1E-2</v>
      </c>
      <c r="AS39">
        <v>1</v>
      </c>
      <c r="AU39">
        <v>3.1E-2</v>
      </c>
    </row>
    <row r="40" spans="1:47" x14ac:dyDescent="0.3">
      <c r="A40" t="s">
        <v>75</v>
      </c>
      <c r="B40">
        <v>3279.9994409999999</v>
      </c>
      <c r="C40">
        <v>1.985E-2</v>
      </c>
      <c r="D40">
        <v>20566</v>
      </c>
      <c r="E40">
        <v>68371</v>
      </c>
      <c r="F40">
        <v>1.9E-2</v>
      </c>
      <c r="G40">
        <v>4.0000000000000001E-3</v>
      </c>
      <c r="H40">
        <v>50001</v>
      </c>
      <c r="I40">
        <v>0</v>
      </c>
      <c r="J40">
        <v>0</v>
      </c>
      <c r="K40">
        <v>1</v>
      </c>
      <c r="L40">
        <v>50001</v>
      </c>
      <c r="M40">
        <v>3279.9994409999999</v>
      </c>
      <c r="N40">
        <v>0.5910979999999999</v>
      </c>
      <c r="P40">
        <v>1</v>
      </c>
      <c r="R40">
        <v>53280.99944</v>
      </c>
      <c r="S40">
        <v>53280.99944</v>
      </c>
      <c r="U40">
        <v>1</v>
      </c>
      <c r="V40">
        <v>1</v>
      </c>
      <c r="W40">
        <v>1</v>
      </c>
      <c r="X40">
        <v>0</v>
      </c>
      <c r="Y40">
        <v>0</v>
      </c>
      <c r="Z40">
        <v>0</v>
      </c>
      <c r="AA40">
        <v>4.0000000000000001E-3</v>
      </c>
      <c r="AC40">
        <v>0.54824799999999996</v>
      </c>
      <c r="AE40">
        <v>1</v>
      </c>
      <c r="AF40">
        <v>43</v>
      </c>
      <c r="AH40">
        <v>1</v>
      </c>
      <c r="AJ40">
        <v>0</v>
      </c>
      <c r="AL40">
        <v>5</v>
      </c>
      <c r="AN40">
        <v>43</v>
      </c>
      <c r="AO40">
        <v>1</v>
      </c>
      <c r="AP40">
        <v>0</v>
      </c>
      <c r="AQ40">
        <v>5</v>
      </c>
      <c r="AR40">
        <v>0.187</v>
      </c>
      <c r="AS40">
        <v>7</v>
      </c>
      <c r="AU40">
        <v>2.6714000000000002E-2</v>
      </c>
    </row>
    <row r="41" spans="1:47" x14ac:dyDescent="0.3">
      <c r="A41" t="s">
        <v>76</v>
      </c>
      <c r="B41">
        <v>3200.0002439999998</v>
      </c>
      <c r="C41">
        <v>2.0542000000000001E-2</v>
      </c>
      <c r="D41">
        <v>17826</v>
      </c>
      <c r="E41">
        <v>58680</v>
      </c>
      <c r="F41">
        <v>1.6E-2</v>
      </c>
      <c r="G41">
        <v>3.0000000000000001E-3</v>
      </c>
      <c r="H41">
        <v>50001</v>
      </c>
      <c r="I41">
        <v>0</v>
      </c>
      <c r="J41">
        <v>0</v>
      </c>
      <c r="K41">
        <v>1</v>
      </c>
      <c r="L41">
        <v>50001</v>
      </c>
      <c r="M41">
        <v>3200.0002319999999</v>
      </c>
      <c r="N41">
        <v>2.2216119999999999</v>
      </c>
      <c r="P41">
        <v>1</v>
      </c>
      <c r="R41">
        <v>53201.000229999998</v>
      </c>
      <c r="S41">
        <v>53201.000240000001</v>
      </c>
      <c r="U41">
        <v>1</v>
      </c>
      <c r="V41">
        <v>1</v>
      </c>
      <c r="W41">
        <v>1</v>
      </c>
      <c r="X41">
        <v>0</v>
      </c>
      <c r="Y41">
        <v>0</v>
      </c>
      <c r="Z41">
        <v>0</v>
      </c>
      <c r="AA41">
        <v>3.0000000000000001E-3</v>
      </c>
      <c r="AC41">
        <v>2.18207</v>
      </c>
      <c r="AE41">
        <v>1</v>
      </c>
      <c r="AF41">
        <v>124</v>
      </c>
      <c r="AH41">
        <v>0</v>
      </c>
      <c r="AJ41">
        <v>0</v>
      </c>
      <c r="AL41">
        <v>25</v>
      </c>
      <c r="AN41">
        <v>124</v>
      </c>
      <c r="AO41">
        <v>0</v>
      </c>
      <c r="AP41">
        <v>0</v>
      </c>
      <c r="AQ41">
        <v>25</v>
      </c>
      <c r="AR41">
        <v>1.3520000000000001</v>
      </c>
      <c r="AS41">
        <v>26</v>
      </c>
      <c r="AU41">
        <v>5.1999999999999998E-2</v>
      </c>
    </row>
    <row r="42" spans="1:47" x14ac:dyDescent="0.3">
      <c r="A42" t="s">
        <v>77</v>
      </c>
      <c r="B42">
        <v>2939.9999469999998</v>
      </c>
      <c r="C42">
        <v>1.7500000000000002E-2</v>
      </c>
      <c r="D42">
        <v>11383</v>
      </c>
      <c r="E42">
        <v>34180</v>
      </c>
      <c r="F42">
        <v>8.0000000000000002E-3</v>
      </c>
      <c r="G42">
        <v>1E-3</v>
      </c>
      <c r="H42">
        <v>50001</v>
      </c>
      <c r="I42">
        <v>0</v>
      </c>
      <c r="J42">
        <v>0</v>
      </c>
      <c r="K42">
        <v>1</v>
      </c>
      <c r="L42">
        <v>50001</v>
      </c>
      <c r="M42">
        <v>2939.9999469999998</v>
      </c>
      <c r="N42">
        <v>3.3532609999999998</v>
      </c>
      <c r="P42">
        <v>1</v>
      </c>
      <c r="R42">
        <v>52940.999949999998</v>
      </c>
      <c r="S42">
        <v>52940.999949999998</v>
      </c>
      <c r="U42">
        <v>1</v>
      </c>
      <c r="V42">
        <v>1</v>
      </c>
      <c r="W42">
        <v>1</v>
      </c>
      <c r="X42">
        <v>0</v>
      </c>
      <c r="Y42">
        <v>0</v>
      </c>
      <c r="Z42">
        <v>0</v>
      </c>
      <c r="AA42">
        <v>1E-3</v>
      </c>
      <c r="AC42">
        <v>3.3267609999999999</v>
      </c>
      <c r="AE42">
        <v>1</v>
      </c>
      <c r="AF42">
        <v>516</v>
      </c>
      <c r="AH42">
        <v>4</v>
      </c>
      <c r="AJ42">
        <v>0</v>
      </c>
      <c r="AL42">
        <v>38</v>
      </c>
      <c r="AN42">
        <v>516</v>
      </c>
      <c r="AO42">
        <v>4</v>
      </c>
      <c r="AP42">
        <v>0</v>
      </c>
      <c r="AQ42">
        <v>38</v>
      </c>
      <c r="AR42">
        <v>2.0649999999999999</v>
      </c>
      <c r="AS42">
        <v>39</v>
      </c>
      <c r="AU42">
        <v>5.2949000000000003E-2</v>
      </c>
    </row>
    <row r="43" spans="1:47" x14ac:dyDescent="0.3">
      <c r="A43" t="s">
        <v>78</v>
      </c>
      <c r="B43">
        <v>3119.999675</v>
      </c>
      <c r="C43">
        <v>1.8842999999999999E-2</v>
      </c>
      <c r="D43">
        <v>43535</v>
      </c>
      <c r="E43">
        <v>161418</v>
      </c>
      <c r="F43">
        <v>4.8000000000000001E-2</v>
      </c>
      <c r="G43">
        <v>1.2E-2</v>
      </c>
      <c r="H43">
        <v>40001</v>
      </c>
      <c r="I43">
        <v>0</v>
      </c>
      <c r="J43">
        <v>0</v>
      </c>
      <c r="K43">
        <v>1</v>
      </c>
      <c r="L43">
        <v>40001</v>
      </c>
      <c r="M43">
        <v>3119.9996679999999</v>
      </c>
      <c r="N43">
        <v>4.3455789999999999</v>
      </c>
      <c r="P43">
        <v>1</v>
      </c>
      <c r="R43">
        <v>43120.999669999997</v>
      </c>
      <c r="S43">
        <v>43120.999680000001</v>
      </c>
      <c r="U43">
        <v>1</v>
      </c>
      <c r="V43">
        <v>1</v>
      </c>
      <c r="W43">
        <v>1</v>
      </c>
      <c r="X43">
        <v>0</v>
      </c>
      <c r="Y43">
        <v>0</v>
      </c>
      <c r="Z43">
        <v>0</v>
      </c>
      <c r="AA43">
        <v>1.2E-2</v>
      </c>
      <c r="AC43">
        <v>4.2667359999999999</v>
      </c>
      <c r="AE43">
        <v>1</v>
      </c>
      <c r="AF43">
        <v>1483</v>
      </c>
      <c r="AH43">
        <v>5</v>
      </c>
      <c r="AJ43">
        <v>0</v>
      </c>
      <c r="AL43">
        <v>72</v>
      </c>
      <c r="AN43">
        <v>1483</v>
      </c>
      <c r="AO43">
        <v>5</v>
      </c>
      <c r="AP43">
        <v>0</v>
      </c>
      <c r="AQ43">
        <v>72</v>
      </c>
      <c r="AR43">
        <v>1.9830000000000001</v>
      </c>
      <c r="AS43">
        <v>73</v>
      </c>
      <c r="AU43">
        <v>2.7164000000000001E-2</v>
      </c>
    </row>
    <row r="44" spans="1:47" x14ac:dyDescent="0.3">
      <c r="A44" t="s">
        <v>79</v>
      </c>
      <c r="B44">
        <v>2959.9999459999999</v>
      </c>
      <c r="C44">
        <v>2.0851000000000001E-2</v>
      </c>
      <c r="D44">
        <v>26705</v>
      </c>
      <c r="E44">
        <v>95897</v>
      </c>
      <c r="F44">
        <v>2.7E-2</v>
      </c>
      <c r="G44">
        <v>6.0000000000000001E-3</v>
      </c>
      <c r="H44">
        <v>40003</v>
      </c>
      <c r="I44">
        <v>0</v>
      </c>
      <c r="J44">
        <v>0</v>
      </c>
      <c r="K44">
        <v>1</v>
      </c>
      <c r="L44">
        <v>40003</v>
      </c>
      <c r="M44">
        <v>2959.9999459999999</v>
      </c>
      <c r="N44">
        <v>4.7844769999999999</v>
      </c>
      <c r="P44">
        <v>1</v>
      </c>
      <c r="R44">
        <v>42962.999949999998</v>
      </c>
      <c r="S44">
        <v>42962.999949999998</v>
      </c>
      <c r="U44">
        <v>1</v>
      </c>
      <c r="V44">
        <v>1</v>
      </c>
      <c r="W44">
        <v>1</v>
      </c>
      <c r="X44">
        <v>0</v>
      </c>
      <c r="Y44">
        <v>0</v>
      </c>
      <c r="Z44">
        <v>0</v>
      </c>
      <c r="AA44">
        <v>6.0000000000000001E-3</v>
      </c>
      <c r="AC44">
        <v>4.730626</v>
      </c>
      <c r="AE44">
        <v>1</v>
      </c>
      <c r="AF44">
        <v>433</v>
      </c>
      <c r="AH44">
        <v>3</v>
      </c>
      <c r="AJ44">
        <v>0</v>
      </c>
      <c r="AL44">
        <v>112</v>
      </c>
      <c r="AN44">
        <v>433</v>
      </c>
      <c r="AO44">
        <v>3</v>
      </c>
      <c r="AP44">
        <v>0</v>
      </c>
      <c r="AQ44">
        <v>112</v>
      </c>
      <c r="AR44">
        <v>3.319</v>
      </c>
      <c r="AS44">
        <v>113</v>
      </c>
      <c r="AU44">
        <v>2.9371999999999999E-2</v>
      </c>
    </row>
    <row r="45" spans="1:47" x14ac:dyDescent="0.3">
      <c r="A45" t="s">
        <v>80</v>
      </c>
      <c r="B45">
        <v>3260.0000380000001</v>
      </c>
      <c r="C45">
        <v>3.0037000000000001E-2</v>
      </c>
      <c r="D45">
        <v>8048</v>
      </c>
      <c r="E45">
        <v>21801</v>
      </c>
      <c r="F45">
        <v>6.0000000000000001E-3</v>
      </c>
      <c r="G45">
        <v>1E-3</v>
      </c>
      <c r="H45">
        <v>30003</v>
      </c>
      <c r="I45">
        <v>0</v>
      </c>
      <c r="J45">
        <v>0</v>
      </c>
      <c r="K45">
        <v>1</v>
      </c>
      <c r="L45">
        <v>30003</v>
      </c>
      <c r="M45">
        <v>3260.0000380000001</v>
      </c>
      <c r="N45">
        <v>0.83096499999999995</v>
      </c>
      <c r="P45">
        <v>1</v>
      </c>
      <c r="R45">
        <v>33263.000039999999</v>
      </c>
      <c r="S45">
        <v>33263.000039999999</v>
      </c>
      <c r="U45">
        <v>1</v>
      </c>
      <c r="V45">
        <v>1</v>
      </c>
      <c r="W45">
        <v>1</v>
      </c>
      <c r="X45">
        <v>0</v>
      </c>
      <c r="Y45">
        <v>0</v>
      </c>
      <c r="Z45">
        <v>0</v>
      </c>
      <c r="AA45">
        <v>1E-3</v>
      </c>
      <c r="AC45">
        <v>0.79392799999999997</v>
      </c>
      <c r="AE45">
        <v>1</v>
      </c>
      <c r="AF45">
        <v>70</v>
      </c>
      <c r="AH45">
        <v>1</v>
      </c>
      <c r="AJ45">
        <v>0</v>
      </c>
      <c r="AL45">
        <v>1</v>
      </c>
      <c r="AN45">
        <v>70</v>
      </c>
      <c r="AO45">
        <v>1</v>
      </c>
      <c r="AP45">
        <v>0</v>
      </c>
      <c r="AQ45">
        <v>1</v>
      </c>
      <c r="AR45">
        <v>0.14899999999999999</v>
      </c>
      <c r="AS45">
        <v>2</v>
      </c>
      <c r="AU45">
        <v>7.4499999999999997E-2</v>
      </c>
    </row>
    <row r="46" spans="1:47" x14ac:dyDescent="0.3">
      <c r="A46" t="s">
        <v>81</v>
      </c>
      <c r="B46">
        <v>3020.0000460000001</v>
      </c>
      <c r="C46">
        <v>2.1919000000000001E-2</v>
      </c>
      <c r="D46">
        <v>22029</v>
      </c>
      <c r="E46">
        <v>75043</v>
      </c>
      <c r="F46">
        <v>2.1000000000000001E-2</v>
      </c>
      <c r="G46">
        <v>4.0000000000000001E-3</v>
      </c>
      <c r="H46">
        <v>40002</v>
      </c>
      <c r="I46">
        <v>0</v>
      </c>
      <c r="J46">
        <v>0</v>
      </c>
      <c r="K46">
        <v>1</v>
      </c>
      <c r="L46">
        <v>40002</v>
      </c>
      <c r="M46">
        <v>3020.000039</v>
      </c>
      <c r="N46">
        <v>0.65862100000000001</v>
      </c>
      <c r="P46">
        <v>1</v>
      </c>
      <c r="R46">
        <v>43022.000039999999</v>
      </c>
      <c r="S46">
        <v>43022.000050000002</v>
      </c>
      <c r="U46">
        <v>1</v>
      </c>
      <c r="V46">
        <v>1</v>
      </c>
      <c r="W46">
        <v>1</v>
      </c>
      <c r="X46">
        <v>0</v>
      </c>
      <c r="Y46">
        <v>0</v>
      </c>
      <c r="Z46">
        <v>0</v>
      </c>
      <c r="AA46">
        <v>4.0000000000000001E-3</v>
      </c>
      <c r="AC46">
        <v>0.61170199999999997</v>
      </c>
      <c r="AE46">
        <v>1</v>
      </c>
      <c r="AF46">
        <v>29</v>
      </c>
      <c r="AH46">
        <v>1</v>
      </c>
      <c r="AJ46">
        <v>0</v>
      </c>
      <c r="AL46">
        <v>3</v>
      </c>
      <c r="AN46">
        <v>29</v>
      </c>
      <c r="AO46">
        <v>1</v>
      </c>
      <c r="AP46">
        <v>0</v>
      </c>
      <c r="AQ46">
        <v>3</v>
      </c>
      <c r="AR46">
        <v>0.20899999999999999</v>
      </c>
      <c r="AS46">
        <v>5</v>
      </c>
      <c r="AU46">
        <v>4.1799999999999997E-2</v>
      </c>
    </row>
    <row r="47" spans="1:47" x14ac:dyDescent="0.3">
      <c r="A47" t="s">
        <v>82</v>
      </c>
      <c r="B47">
        <v>3019.999945</v>
      </c>
      <c r="C47">
        <v>1.8318000000000001E-2</v>
      </c>
      <c r="D47">
        <v>18381</v>
      </c>
      <c r="E47">
        <v>61525</v>
      </c>
      <c r="F47">
        <v>1.6E-2</v>
      </c>
      <c r="G47">
        <v>3.0000000000000001E-3</v>
      </c>
      <c r="H47">
        <v>40003</v>
      </c>
      <c r="I47">
        <v>0</v>
      </c>
      <c r="J47">
        <v>0</v>
      </c>
      <c r="K47">
        <v>1</v>
      </c>
      <c r="L47">
        <v>40003</v>
      </c>
      <c r="M47">
        <v>3019.999945</v>
      </c>
      <c r="N47">
        <v>0.43038599999999999</v>
      </c>
      <c r="P47">
        <v>1</v>
      </c>
      <c r="R47">
        <v>43022.999949999998</v>
      </c>
      <c r="S47">
        <v>43022.999949999998</v>
      </c>
      <c r="U47">
        <v>1</v>
      </c>
      <c r="V47">
        <v>1</v>
      </c>
      <c r="W47">
        <v>1</v>
      </c>
      <c r="X47">
        <v>0</v>
      </c>
      <c r="Y47">
        <v>0</v>
      </c>
      <c r="Z47">
        <v>0</v>
      </c>
      <c r="AA47">
        <v>3.0000000000000001E-3</v>
      </c>
      <c r="AC47">
        <v>0.39306799999999997</v>
      </c>
      <c r="AE47">
        <v>1</v>
      </c>
      <c r="AF47">
        <v>21</v>
      </c>
      <c r="AH47">
        <v>2</v>
      </c>
      <c r="AJ47">
        <v>0</v>
      </c>
      <c r="AL47">
        <v>4</v>
      </c>
      <c r="AN47">
        <v>21</v>
      </c>
      <c r="AO47">
        <v>2</v>
      </c>
      <c r="AP47">
        <v>0</v>
      </c>
      <c r="AQ47">
        <v>4</v>
      </c>
      <c r="AR47">
        <v>0.123</v>
      </c>
      <c r="AS47">
        <v>5</v>
      </c>
      <c r="AU47">
        <v>2.46E-2</v>
      </c>
    </row>
    <row r="48" spans="1:47" x14ac:dyDescent="0.3">
      <c r="A48" t="s">
        <v>83</v>
      </c>
      <c r="B48">
        <v>3019.9997720000001</v>
      </c>
      <c r="C48">
        <v>1.8290000000000001E-2</v>
      </c>
      <c r="D48">
        <v>31588</v>
      </c>
      <c r="E48">
        <v>112545</v>
      </c>
      <c r="F48">
        <v>3.3000000000000002E-2</v>
      </c>
      <c r="G48">
        <v>8.0000000000000002E-3</v>
      </c>
      <c r="H48">
        <v>40001</v>
      </c>
      <c r="I48">
        <v>0</v>
      </c>
      <c r="J48">
        <v>0</v>
      </c>
      <c r="K48">
        <v>1</v>
      </c>
      <c r="L48">
        <v>40001</v>
      </c>
      <c r="M48">
        <v>3019.9997720000001</v>
      </c>
      <c r="N48">
        <v>1.6736060000000001</v>
      </c>
      <c r="P48">
        <v>1</v>
      </c>
      <c r="R48">
        <v>43020.999770000002</v>
      </c>
      <c r="S48">
        <v>43020.999770000002</v>
      </c>
      <c r="U48">
        <v>1</v>
      </c>
      <c r="V48">
        <v>1</v>
      </c>
      <c r="W48">
        <v>1</v>
      </c>
      <c r="X48">
        <v>0</v>
      </c>
      <c r="Y48">
        <v>0</v>
      </c>
      <c r="Z48">
        <v>0</v>
      </c>
      <c r="AA48">
        <v>8.0000000000000002E-3</v>
      </c>
      <c r="AC48">
        <v>1.6143160000000001</v>
      </c>
      <c r="AE48">
        <v>1</v>
      </c>
      <c r="AF48">
        <v>87</v>
      </c>
      <c r="AH48">
        <v>1</v>
      </c>
      <c r="AJ48">
        <v>0</v>
      </c>
      <c r="AL48">
        <v>10</v>
      </c>
      <c r="AN48">
        <v>87</v>
      </c>
      <c r="AO48">
        <v>1</v>
      </c>
      <c r="AP48">
        <v>0</v>
      </c>
      <c r="AQ48">
        <v>10</v>
      </c>
      <c r="AR48">
        <v>0.76600000000000001</v>
      </c>
      <c r="AS48">
        <v>11</v>
      </c>
      <c r="AU48">
        <v>6.9636000000000003E-2</v>
      </c>
    </row>
    <row r="49" spans="1:48" x14ac:dyDescent="0.3">
      <c r="A49" t="s">
        <v>84</v>
      </c>
      <c r="B49">
        <v>3239.9997950000002</v>
      </c>
      <c r="C49">
        <v>1.9331999999999998E-2</v>
      </c>
      <c r="D49">
        <v>39715</v>
      </c>
      <c r="E49">
        <v>145580</v>
      </c>
      <c r="F49">
        <v>4.2999999999999997E-2</v>
      </c>
      <c r="G49">
        <v>1.2999999999999999E-2</v>
      </c>
      <c r="H49">
        <v>40001</v>
      </c>
      <c r="I49">
        <v>0</v>
      </c>
      <c r="J49">
        <v>0</v>
      </c>
      <c r="K49">
        <v>1</v>
      </c>
      <c r="L49">
        <v>40001</v>
      </c>
      <c r="M49">
        <v>3239.9997950000002</v>
      </c>
      <c r="N49">
        <v>1.6087119999999999</v>
      </c>
      <c r="P49">
        <v>1</v>
      </c>
      <c r="R49">
        <v>43240.999799999998</v>
      </c>
      <c r="S49">
        <v>43240.999799999998</v>
      </c>
      <c r="U49">
        <v>1</v>
      </c>
      <c r="V49">
        <v>1</v>
      </c>
      <c r="W49">
        <v>1</v>
      </c>
      <c r="X49">
        <v>0</v>
      </c>
      <c r="Y49">
        <v>0</v>
      </c>
      <c r="Z49">
        <v>0</v>
      </c>
      <c r="AA49">
        <v>1.2999999999999999E-2</v>
      </c>
      <c r="AC49">
        <v>1.53338</v>
      </c>
      <c r="AE49">
        <v>1</v>
      </c>
      <c r="AF49">
        <v>74</v>
      </c>
      <c r="AH49">
        <v>1</v>
      </c>
      <c r="AJ49">
        <v>0</v>
      </c>
      <c r="AL49">
        <v>21</v>
      </c>
      <c r="AN49">
        <v>74</v>
      </c>
      <c r="AO49">
        <v>1</v>
      </c>
      <c r="AP49">
        <v>0</v>
      </c>
      <c r="AQ49">
        <v>21</v>
      </c>
      <c r="AR49">
        <v>0.78700000000000003</v>
      </c>
      <c r="AS49">
        <v>22</v>
      </c>
      <c r="AU49">
        <v>3.5772999999999999E-2</v>
      </c>
    </row>
    <row r="50" spans="1:48" x14ac:dyDescent="0.3">
      <c r="A50" t="s">
        <v>85</v>
      </c>
      <c r="B50">
        <v>3039.999855</v>
      </c>
      <c r="C50">
        <v>1.8825999999999999E-2</v>
      </c>
      <c r="D50">
        <v>21700</v>
      </c>
      <c r="E50">
        <v>73066</v>
      </c>
      <c r="F50">
        <v>0.02</v>
      </c>
      <c r="G50">
        <v>5.0000000000000001E-3</v>
      </c>
      <c r="H50">
        <v>40002</v>
      </c>
      <c r="I50">
        <v>0</v>
      </c>
      <c r="J50">
        <v>0</v>
      </c>
      <c r="K50">
        <v>1</v>
      </c>
      <c r="L50">
        <v>40002</v>
      </c>
      <c r="M50">
        <v>3039.999855</v>
      </c>
      <c r="N50">
        <v>3.3964700000000003</v>
      </c>
      <c r="P50">
        <v>1</v>
      </c>
      <c r="R50">
        <v>43041.999860000004</v>
      </c>
      <c r="S50">
        <v>43041.999860000004</v>
      </c>
      <c r="U50">
        <v>1</v>
      </c>
      <c r="V50">
        <v>1</v>
      </c>
      <c r="W50">
        <v>1</v>
      </c>
      <c r="X50">
        <v>0</v>
      </c>
      <c r="Y50">
        <v>0</v>
      </c>
      <c r="Z50">
        <v>0</v>
      </c>
      <c r="AA50">
        <v>5.0000000000000001E-3</v>
      </c>
      <c r="AC50">
        <v>3.3526440000000002</v>
      </c>
      <c r="AE50">
        <v>1</v>
      </c>
      <c r="AF50">
        <v>115</v>
      </c>
      <c r="AH50">
        <v>5</v>
      </c>
      <c r="AJ50">
        <v>0</v>
      </c>
      <c r="AL50">
        <v>59</v>
      </c>
      <c r="AN50">
        <v>115</v>
      </c>
      <c r="AO50">
        <v>5</v>
      </c>
      <c r="AP50">
        <v>0</v>
      </c>
      <c r="AQ50">
        <v>59</v>
      </c>
      <c r="AR50">
        <v>2.3140000000000001</v>
      </c>
      <c r="AS50">
        <v>60</v>
      </c>
      <c r="AU50">
        <v>3.8566999999999997E-2</v>
      </c>
    </row>
    <row r="51" spans="1:48" x14ac:dyDescent="0.3">
      <c r="A51" t="s">
        <v>86</v>
      </c>
      <c r="B51">
        <v>3000.0001609999999</v>
      </c>
      <c r="C51">
        <v>1.7599E-2</v>
      </c>
      <c r="D51">
        <v>28878</v>
      </c>
      <c r="E51">
        <v>101976</v>
      </c>
      <c r="F51">
        <v>2.9000000000000001E-2</v>
      </c>
      <c r="G51">
        <v>7.0000000000000001E-3</v>
      </c>
      <c r="H51">
        <v>50001</v>
      </c>
      <c r="I51">
        <v>0</v>
      </c>
      <c r="J51">
        <v>0</v>
      </c>
      <c r="K51">
        <v>1</v>
      </c>
      <c r="L51">
        <v>50001</v>
      </c>
      <c r="M51">
        <v>3000.0001609999999</v>
      </c>
      <c r="N51">
        <v>2.225187</v>
      </c>
      <c r="P51">
        <v>1</v>
      </c>
      <c r="R51">
        <v>53001.000160000003</v>
      </c>
      <c r="S51">
        <v>53001.000160000003</v>
      </c>
      <c r="U51">
        <v>1</v>
      </c>
      <c r="V51">
        <v>1</v>
      </c>
      <c r="W51">
        <v>1</v>
      </c>
      <c r="X51">
        <v>0</v>
      </c>
      <c r="Y51">
        <v>0</v>
      </c>
      <c r="Z51">
        <v>0</v>
      </c>
      <c r="AA51">
        <v>7.0000000000000001E-3</v>
      </c>
      <c r="AC51">
        <v>2.1715879999999999</v>
      </c>
      <c r="AE51">
        <v>1</v>
      </c>
      <c r="AF51">
        <v>81</v>
      </c>
      <c r="AH51">
        <v>1</v>
      </c>
      <c r="AJ51">
        <v>0</v>
      </c>
      <c r="AL51">
        <v>31</v>
      </c>
      <c r="AN51">
        <v>81</v>
      </c>
      <c r="AO51">
        <v>1</v>
      </c>
      <c r="AP51">
        <v>0</v>
      </c>
      <c r="AQ51">
        <v>31</v>
      </c>
      <c r="AR51">
        <v>1.278</v>
      </c>
      <c r="AS51">
        <v>32</v>
      </c>
      <c r="AU51">
        <v>3.9938000000000001E-2</v>
      </c>
    </row>
    <row r="52" spans="1:48" x14ac:dyDescent="0.3">
      <c r="A52" t="s">
        <v>87</v>
      </c>
      <c r="B52">
        <v>2999.9998270000001</v>
      </c>
      <c r="C52">
        <v>1.7908E-2</v>
      </c>
      <c r="D52">
        <v>32614</v>
      </c>
      <c r="E52">
        <v>116945</v>
      </c>
      <c r="F52">
        <v>3.4000000000000002E-2</v>
      </c>
      <c r="G52">
        <v>8.9999999999999993E-3</v>
      </c>
      <c r="H52">
        <v>40001</v>
      </c>
      <c r="I52">
        <v>0</v>
      </c>
      <c r="J52">
        <v>0</v>
      </c>
      <c r="K52">
        <v>1</v>
      </c>
      <c r="L52">
        <v>40001</v>
      </c>
      <c r="M52">
        <v>2999.9998270000001</v>
      </c>
      <c r="N52">
        <v>3.9794239999999999</v>
      </c>
      <c r="P52">
        <v>1</v>
      </c>
      <c r="R52">
        <v>43000.999830000001</v>
      </c>
      <c r="S52">
        <v>43000.999830000001</v>
      </c>
      <c r="U52">
        <v>1</v>
      </c>
      <c r="V52">
        <v>1</v>
      </c>
      <c r="W52">
        <v>1</v>
      </c>
      <c r="X52">
        <v>0</v>
      </c>
      <c r="Y52">
        <v>0</v>
      </c>
      <c r="Z52">
        <v>0</v>
      </c>
      <c r="AA52">
        <v>8.9999999999999993E-3</v>
      </c>
      <c r="AC52">
        <v>3.9185159999999999</v>
      </c>
      <c r="AE52">
        <v>1</v>
      </c>
      <c r="AF52">
        <v>465</v>
      </c>
      <c r="AH52">
        <v>2</v>
      </c>
      <c r="AJ52">
        <v>0</v>
      </c>
      <c r="AL52">
        <v>49</v>
      </c>
      <c r="AN52">
        <v>465</v>
      </c>
      <c r="AO52">
        <v>2</v>
      </c>
      <c r="AP52">
        <v>0</v>
      </c>
      <c r="AQ52">
        <v>49</v>
      </c>
      <c r="AR52">
        <v>2.6560000000000001</v>
      </c>
      <c r="AS52">
        <v>50</v>
      </c>
      <c r="AU52">
        <v>5.3120000000000001E-2</v>
      </c>
    </row>
    <row r="53" spans="1:48" x14ac:dyDescent="0.3">
      <c r="A53" t="s">
        <v>88</v>
      </c>
      <c r="B53">
        <v>3119.999957</v>
      </c>
      <c r="C53">
        <v>2.3255000000000001E-2</v>
      </c>
      <c r="D53">
        <v>36799</v>
      </c>
      <c r="E53">
        <v>140579</v>
      </c>
      <c r="F53">
        <v>4.4999999999999998E-2</v>
      </c>
      <c r="G53">
        <v>1.9E-2</v>
      </c>
      <c r="H53">
        <v>50001</v>
      </c>
      <c r="I53">
        <v>0</v>
      </c>
      <c r="J53">
        <v>0</v>
      </c>
      <c r="K53">
        <v>1</v>
      </c>
      <c r="L53">
        <v>50001</v>
      </c>
      <c r="M53">
        <v>3119.999957</v>
      </c>
      <c r="N53">
        <v>4.7151009999999998</v>
      </c>
      <c r="P53">
        <v>1</v>
      </c>
      <c r="R53">
        <v>53120.999960000001</v>
      </c>
      <c r="S53">
        <v>53120.999960000001</v>
      </c>
      <c r="U53">
        <v>1</v>
      </c>
      <c r="V53">
        <v>1</v>
      </c>
      <c r="W53">
        <v>1</v>
      </c>
      <c r="X53">
        <v>0</v>
      </c>
      <c r="Y53">
        <v>0</v>
      </c>
      <c r="Z53">
        <v>0</v>
      </c>
      <c r="AA53">
        <v>1.9E-2</v>
      </c>
      <c r="AC53">
        <v>4.6278459999999999</v>
      </c>
      <c r="AE53">
        <v>1</v>
      </c>
      <c r="AF53">
        <v>42</v>
      </c>
      <c r="AH53">
        <v>2</v>
      </c>
      <c r="AJ53">
        <v>0</v>
      </c>
      <c r="AL53">
        <v>84</v>
      </c>
      <c r="AN53">
        <v>42</v>
      </c>
      <c r="AO53">
        <v>2</v>
      </c>
      <c r="AP53">
        <v>0</v>
      </c>
      <c r="AQ53">
        <v>84</v>
      </c>
      <c r="AR53">
        <v>3.71</v>
      </c>
      <c r="AS53">
        <v>85</v>
      </c>
      <c r="AU53">
        <v>4.3646999999999998E-2</v>
      </c>
    </row>
    <row r="54" spans="1:48" x14ac:dyDescent="0.3">
      <c r="A54" t="s">
        <v>89</v>
      </c>
      <c r="B54">
        <v>3000.0001609999999</v>
      </c>
      <c r="C54">
        <v>1.7677999999999999E-2</v>
      </c>
      <c r="D54">
        <v>63159</v>
      </c>
      <c r="E54">
        <v>253998</v>
      </c>
      <c r="F54">
        <v>7.6999999999999999E-2</v>
      </c>
      <c r="G54">
        <v>2.1999999999999999E-2</v>
      </c>
      <c r="H54">
        <v>40002</v>
      </c>
      <c r="I54">
        <v>0</v>
      </c>
      <c r="J54">
        <v>0</v>
      </c>
      <c r="K54">
        <v>1</v>
      </c>
      <c r="L54">
        <v>40002</v>
      </c>
      <c r="M54">
        <v>3000.0001609999999</v>
      </c>
      <c r="N54">
        <v>22.096547000000001</v>
      </c>
      <c r="P54">
        <v>1</v>
      </c>
      <c r="R54">
        <v>43002.000160000003</v>
      </c>
      <c r="S54">
        <v>43002.000160000003</v>
      </c>
      <c r="U54">
        <v>1</v>
      </c>
      <c r="V54">
        <v>1</v>
      </c>
      <c r="W54">
        <v>1</v>
      </c>
      <c r="X54">
        <v>0</v>
      </c>
      <c r="Y54">
        <v>0</v>
      </c>
      <c r="Z54">
        <v>0</v>
      </c>
      <c r="AA54">
        <v>2.1999999999999999E-2</v>
      </c>
      <c r="AC54">
        <v>21.979869000000001</v>
      </c>
      <c r="AE54">
        <v>1</v>
      </c>
      <c r="AF54">
        <v>173</v>
      </c>
      <c r="AH54">
        <v>11</v>
      </c>
      <c r="AJ54">
        <v>0</v>
      </c>
      <c r="AL54">
        <v>665</v>
      </c>
      <c r="AN54">
        <v>173</v>
      </c>
      <c r="AO54">
        <v>11</v>
      </c>
      <c r="AP54">
        <v>0</v>
      </c>
      <c r="AQ54">
        <v>665</v>
      </c>
      <c r="AR54">
        <v>18.629000000000001</v>
      </c>
      <c r="AS54">
        <v>666</v>
      </c>
      <c r="AU54">
        <v>2.7970999999999999E-2</v>
      </c>
    </row>
    <row r="55" spans="1:48" x14ac:dyDescent="0.3">
      <c r="A55" t="s">
        <v>90</v>
      </c>
      <c r="B55">
        <v>2999.9998270000001</v>
      </c>
      <c r="C55">
        <v>2.6478999999999999E-2</v>
      </c>
      <c r="D55">
        <v>12429</v>
      </c>
      <c r="E55">
        <v>38961</v>
      </c>
      <c r="F55">
        <v>8.9999999999999993E-3</v>
      </c>
      <c r="G55">
        <v>2E-3</v>
      </c>
      <c r="H55">
        <v>40002</v>
      </c>
      <c r="I55">
        <v>0</v>
      </c>
      <c r="J55">
        <v>0</v>
      </c>
      <c r="K55">
        <v>1</v>
      </c>
      <c r="L55">
        <v>40002</v>
      </c>
      <c r="M55">
        <v>2999.9998270000001</v>
      </c>
      <c r="N55">
        <v>0.64801500000000001</v>
      </c>
      <c r="P55">
        <v>1</v>
      </c>
      <c r="R55">
        <v>43001.999830000001</v>
      </c>
      <c r="S55">
        <v>43001.999830000001</v>
      </c>
      <c r="U55">
        <v>1</v>
      </c>
      <c r="V55">
        <v>1</v>
      </c>
      <c r="W55">
        <v>1</v>
      </c>
      <c r="X55">
        <v>0</v>
      </c>
      <c r="Y55">
        <v>0</v>
      </c>
      <c r="Z55">
        <v>0</v>
      </c>
      <c r="AA55">
        <v>2E-3</v>
      </c>
      <c r="AC55">
        <v>0.61053599999999997</v>
      </c>
      <c r="AE55">
        <v>1</v>
      </c>
      <c r="AF55">
        <v>10</v>
      </c>
      <c r="AH55">
        <v>0</v>
      </c>
      <c r="AJ55">
        <v>0</v>
      </c>
      <c r="AL55">
        <v>4</v>
      </c>
      <c r="AN55">
        <v>10</v>
      </c>
      <c r="AO55">
        <v>0</v>
      </c>
      <c r="AP55">
        <v>0</v>
      </c>
      <c r="AQ55">
        <v>4</v>
      </c>
      <c r="AR55">
        <v>0.13700000000000001</v>
      </c>
      <c r="AS55">
        <v>5</v>
      </c>
      <c r="AU55">
        <v>2.7400000000000001E-2</v>
      </c>
    </row>
    <row r="56" spans="1:48" x14ac:dyDescent="0.3">
      <c r="A56" t="s">
        <v>91</v>
      </c>
      <c r="B56">
        <v>3200.0002439999998</v>
      </c>
      <c r="C56">
        <v>1.3962E-2</v>
      </c>
      <c r="D56">
        <v>26231</v>
      </c>
      <c r="E56">
        <v>89948</v>
      </c>
      <c r="F56">
        <v>2.5000000000000001E-2</v>
      </c>
      <c r="G56">
        <v>5.0000000000000001E-3</v>
      </c>
      <c r="H56">
        <v>50001</v>
      </c>
      <c r="I56">
        <v>0</v>
      </c>
      <c r="J56">
        <v>0</v>
      </c>
      <c r="K56">
        <v>1</v>
      </c>
      <c r="L56">
        <v>50001</v>
      </c>
      <c r="M56">
        <v>3200.0002439999998</v>
      </c>
      <c r="N56">
        <v>1.818578</v>
      </c>
      <c r="P56">
        <v>1</v>
      </c>
      <c r="R56">
        <v>53201.000240000001</v>
      </c>
      <c r="S56">
        <v>53201.000240000001</v>
      </c>
      <c r="U56">
        <v>1</v>
      </c>
      <c r="V56">
        <v>1</v>
      </c>
      <c r="W56">
        <v>1</v>
      </c>
      <c r="X56">
        <v>0</v>
      </c>
      <c r="Y56">
        <v>0</v>
      </c>
      <c r="Z56">
        <v>0</v>
      </c>
      <c r="AA56">
        <v>5.0000000000000001E-3</v>
      </c>
      <c r="AC56">
        <v>1.774616</v>
      </c>
      <c r="AE56">
        <v>1</v>
      </c>
      <c r="AF56">
        <v>125</v>
      </c>
      <c r="AH56">
        <v>0</v>
      </c>
      <c r="AJ56">
        <v>0</v>
      </c>
      <c r="AL56">
        <v>31</v>
      </c>
      <c r="AN56">
        <v>125</v>
      </c>
      <c r="AO56">
        <v>0</v>
      </c>
      <c r="AP56">
        <v>0</v>
      </c>
      <c r="AQ56">
        <v>31</v>
      </c>
      <c r="AR56">
        <v>1.034</v>
      </c>
      <c r="AS56">
        <v>32</v>
      </c>
      <c r="AU56">
        <v>3.2313000000000001E-2</v>
      </c>
    </row>
    <row r="57" spans="1:48" x14ac:dyDescent="0.3">
      <c r="A57" t="s">
        <v>92</v>
      </c>
      <c r="B57">
        <v>3279.9994409999999</v>
      </c>
      <c r="C57">
        <v>2.6234E-2</v>
      </c>
      <c r="D57">
        <v>25490</v>
      </c>
      <c r="E57">
        <v>88481</v>
      </c>
      <c r="F57">
        <v>2.5000000000000001E-2</v>
      </c>
      <c r="G57">
        <v>6.0000000000000001E-3</v>
      </c>
      <c r="H57">
        <v>50001</v>
      </c>
      <c r="I57">
        <v>0</v>
      </c>
      <c r="J57">
        <v>0</v>
      </c>
      <c r="K57">
        <v>1</v>
      </c>
      <c r="L57">
        <v>50001</v>
      </c>
      <c r="M57">
        <v>3279.9994409999999</v>
      </c>
      <c r="N57">
        <v>2.1386829999999999</v>
      </c>
      <c r="P57">
        <v>1</v>
      </c>
      <c r="R57">
        <v>53280.99944</v>
      </c>
      <c r="S57">
        <v>53280.99944</v>
      </c>
      <c r="U57">
        <v>1</v>
      </c>
      <c r="V57">
        <v>1</v>
      </c>
      <c r="W57">
        <v>1</v>
      </c>
      <c r="X57">
        <v>0</v>
      </c>
      <c r="Y57">
        <v>0</v>
      </c>
      <c r="Z57">
        <v>0</v>
      </c>
      <c r="AA57">
        <v>6.0000000000000001E-3</v>
      </c>
      <c r="AC57">
        <v>2.0814490000000001</v>
      </c>
      <c r="AE57">
        <v>1</v>
      </c>
      <c r="AF57">
        <v>1468</v>
      </c>
      <c r="AH57">
        <v>2</v>
      </c>
      <c r="AJ57">
        <v>0</v>
      </c>
      <c r="AL57">
        <v>7</v>
      </c>
      <c r="AN57">
        <v>1468</v>
      </c>
      <c r="AO57">
        <v>2</v>
      </c>
      <c r="AP57">
        <v>0</v>
      </c>
      <c r="AQ57">
        <v>7</v>
      </c>
      <c r="AR57">
        <v>0.44400000000000001</v>
      </c>
      <c r="AS57">
        <v>8</v>
      </c>
      <c r="AU57">
        <v>5.5500000000000001E-2</v>
      </c>
    </row>
    <row r="58" spans="1:48" x14ac:dyDescent="0.3">
      <c r="A58" t="s">
        <v>93</v>
      </c>
      <c r="B58">
        <v>3019.9999630000002</v>
      </c>
      <c r="C58">
        <v>2.5283E-2</v>
      </c>
      <c r="D58">
        <v>38448</v>
      </c>
      <c r="E58">
        <v>147688</v>
      </c>
      <c r="F58">
        <v>4.2999999999999997E-2</v>
      </c>
      <c r="G58">
        <v>1.0999999999999999E-2</v>
      </c>
      <c r="H58">
        <v>40002</v>
      </c>
      <c r="I58">
        <v>0</v>
      </c>
      <c r="J58">
        <v>0</v>
      </c>
      <c r="K58">
        <v>1</v>
      </c>
      <c r="L58">
        <v>40002</v>
      </c>
      <c r="M58">
        <v>3019.9999630000002</v>
      </c>
      <c r="N58">
        <v>4.1009989999999998</v>
      </c>
      <c r="P58">
        <v>1</v>
      </c>
      <c r="R58">
        <v>43021.999960000001</v>
      </c>
      <c r="S58">
        <v>43021.999960000001</v>
      </c>
      <c r="U58">
        <v>1</v>
      </c>
      <c r="V58">
        <v>1</v>
      </c>
      <c r="W58">
        <v>1</v>
      </c>
      <c r="X58">
        <v>0</v>
      </c>
      <c r="Y58">
        <v>0</v>
      </c>
      <c r="Z58">
        <v>0</v>
      </c>
      <c r="AA58">
        <v>1.0999999999999999E-2</v>
      </c>
      <c r="AC58">
        <v>4.0217159999999996</v>
      </c>
      <c r="AE58">
        <v>1</v>
      </c>
      <c r="AF58">
        <v>57</v>
      </c>
      <c r="AH58">
        <v>2</v>
      </c>
      <c r="AJ58">
        <v>0</v>
      </c>
      <c r="AL58">
        <v>102</v>
      </c>
      <c r="AN58">
        <v>57</v>
      </c>
      <c r="AO58">
        <v>2</v>
      </c>
      <c r="AP58">
        <v>0</v>
      </c>
      <c r="AQ58">
        <v>102</v>
      </c>
      <c r="AR58">
        <v>3.13</v>
      </c>
      <c r="AS58">
        <v>103</v>
      </c>
      <c r="AU58">
        <v>3.0387999999999998E-2</v>
      </c>
    </row>
    <row r="59" spans="1:48" x14ac:dyDescent="0.3">
      <c r="A59" t="s">
        <v>94</v>
      </c>
      <c r="B59">
        <v>3039.9998719999999</v>
      </c>
      <c r="C59">
        <v>2.4534E-2</v>
      </c>
      <c r="D59">
        <v>73333</v>
      </c>
      <c r="E59">
        <v>302385</v>
      </c>
      <c r="F59">
        <v>9.4E-2</v>
      </c>
      <c r="G59">
        <v>2.3E-2</v>
      </c>
      <c r="H59">
        <v>40002</v>
      </c>
      <c r="I59">
        <v>0</v>
      </c>
      <c r="J59">
        <v>0</v>
      </c>
      <c r="K59">
        <v>1</v>
      </c>
      <c r="L59">
        <v>40002</v>
      </c>
      <c r="M59">
        <v>3039.9998719999999</v>
      </c>
      <c r="N59">
        <v>4.2491830000000004</v>
      </c>
      <c r="P59">
        <v>1</v>
      </c>
      <c r="R59">
        <v>43041.99987</v>
      </c>
      <c r="S59">
        <v>43041.99987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2.3E-2</v>
      </c>
      <c r="AC59">
        <v>4.1076490000000003</v>
      </c>
      <c r="AE59">
        <v>1</v>
      </c>
      <c r="AF59">
        <v>8</v>
      </c>
      <c r="AH59">
        <v>3</v>
      </c>
      <c r="AJ59">
        <v>0</v>
      </c>
      <c r="AL59">
        <v>56</v>
      </c>
      <c r="AN59">
        <v>8</v>
      </c>
      <c r="AO59">
        <v>3</v>
      </c>
      <c r="AP59">
        <v>0</v>
      </c>
      <c r="AQ59">
        <v>56</v>
      </c>
      <c r="AR59">
        <v>3.3220000000000001</v>
      </c>
      <c r="AS59">
        <v>57</v>
      </c>
      <c r="AU59">
        <v>5.8280999999999999E-2</v>
      </c>
    </row>
    <row r="60" spans="1:48" x14ac:dyDescent="0.3">
      <c r="A60" t="s">
        <v>95</v>
      </c>
      <c r="B60">
        <v>3119.9995309999999</v>
      </c>
      <c r="C60">
        <v>1.6775000000000002E-2</v>
      </c>
      <c r="D60">
        <v>35180</v>
      </c>
      <c r="E60">
        <v>126565</v>
      </c>
      <c r="F60">
        <v>3.6999999999999998E-2</v>
      </c>
      <c r="G60">
        <v>0.01</v>
      </c>
      <c r="H60">
        <v>40001</v>
      </c>
      <c r="I60">
        <v>0</v>
      </c>
      <c r="J60">
        <v>0</v>
      </c>
      <c r="K60">
        <v>1</v>
      </c>
      <c r="L60">
        <v>40001</v>
      </c>
      <c r="M60">
        <v>3119.9995309999999</v>
      </c>
      <c r="N60">
        <v>3.4816560000000001</v>
      </c>
      <c r="P60">
        <v>1</v>
      </c>
      <c r="R60">
        <v>43120.999530000001</v>
      </c>
      <c r="S60">
        <v>43120.999530000001</v>
      </c>
      <c r="U60">
        <v>1</v>
      </c>
      <c r="V60">
        <v>1</v>
      </c>
      <c r="W60">
        <v>1</v>
      </c>
      <c r="X60">
        <v>0</v>
      </c>
      <c r="Y60">
        <v>0</v>
      </c>
      <c r="Z60">
        <v>0</v>
      </c>
      <c r="AA60">
        <v>0.01</v>
      </c>
      <c r="AC60">
        <v>3.4178809999999999</v>
      </c>
      <c r="AE60">
        <v>1</v>
      </c>
      <c r="AF60">
        <v>1672</v>
      </c>
      <c r="AH60">
        <v>4</v>
      </c>
      <c r="AJ60">
        <v>0</v>
      </c>
      <c r="AL60">
        <v>39</v>
      </c>
      <c r="AN60">
        <v>1672</v>
      </c>
      <c r="AO60">
        <v>4</v>
      </c>
      <c r="AP60">
        <v>0</v>
      </c>
      <c r="AQ60">
        <v>39</v>
      </c>
      <c r="AR60">
        <v>1.181</v>
      </c>
      <c r="AS60">
        <v>40</v>
      </c>
      <c r="AU60">
        <v>2.9524999999999999E-2</v>
      </c>
    </row>
    <row r="61" spans="1:48" s="1" customFormat="1" x14ac:dyDescent="0.3">
      <c r="A61" s="1" t="s">
        <v>96</v>
      </c>
      <c r="B61" s="1">
        <v>3100.0003190000002</v>
      </c>
      <c r="C61" s="1">
        <v>1.7770000000000001E-2</v>
      </c>
      <c r="D61" s="1">
        <v>23977</v>
      </c>
      <c r="E61" s="1">
        <v>81372</v>
      </c>
      <c r="F61" s="1">
        <v>2.3E-2</v>
      </c>
      <c r="G61" s="1">
        <v>5.0000000000000001E-3</v>
      </c>
      <c r="H61" s="1">
        <v>40002</v>
      </c>
      <c r="I61" s="1">
        <v>0</v>
      </c>
      <c r="J61" s="1">
        <v>0</v>
      </c>
      <c r="K61" s="1">
        <v>1</v>
      </c>
      <c r="L61" s="1">
        <v>40002</v>
      </c>
      <c r="M61" s="1">
        <v>3100.0001040000002</v>
      </c>
      <c r="N61" s="1">
        <v>12.412318999999998</v>
      </c>
      <c r="P61" s="1">
        <v>1</v>
      </c>
      <c r="R61" s="1">
        <v>43102.000099999997</v>
      </c>
      <c r="S61" s="1">
        <v>43102.000319999999</v>
      </c>
      <c r="U61" s="1">
        <v>1</v>
      </c>
      <c r="V61" s="1">
        <v>1</v>
      </c>
      <c r="W61" s="1">
        <v>1</v>
      </c>
      <c r="X61" s="1">
        <v>0</v>
      </c>
      <c r="Y61" s="1">
        <v>0</v>
      </c>
      <c r="Z61" s="1">
        <v>0</v>
      </c>
      <c r="AA61" s="1">
        <v>5.0000000000000001E-3</v>
      </c>
      <c r="AC61" s="1">
        <v>12.366548999999999</v>
      </c>
      <c r="AE61" s="1">
        <v>1</v>
      </c>
      <c r="AF61" s="1">
        <v>61</v>
      </c>
      <c r="AH61" s="1">
        <v>5</v>
      </c>
      <c r="AJ61" s="1">
        <v>0</v>
      </c>
      <c r="AL61" s="1">
        <v>393</v>
      </c>
      <c r="AN61" s="1">
        <v>61</v>
      </c>
      <c r="AO61" s="1">
        <v>5</v>
      </c>
      <c r="AP61" s="1">
        <v>0</v>
      </c>
      <c r="AQ61" s="1">
        <v>393</v>
      </c>
      <c r="AR61" s="1">
        <v>10.625999999999999</v>
      </c>
      <c r="AS61" s="1">
        <v>394</v>
      </c>
      <c r="AU61" s="1">
        <v>2.6970000000000001E-2</v>
      </c>
    </row>
    <row r="62" spans="1:48" x14ac:dyDescent="0.3">
      <c r="A62" t="s">
        <v>97</v>
      </c>
      <c r="B62">
        <v>4719.9995220000001</v>
      </c>
      <c r="C62">
        <v>2.5749999999999999E-2</v>
      </c>
      <c r="D62">
        <v>219731</v>
      </c>
      <c r="E62">
        <v>858285</v>
      </c>
      <c r="F62">
        <v>0.28100000000000003</v>
      </c>
      <c r="G62">
        <v>7.4999999999999997E-2</v>
      </c>
      <c r="H62">
        <v>60001</v>
      </c>
      <c r="I62">
        <v>0</v>
      </c>
      <c r="J62">
        <v>0</v>
      </c>
      <c r="K62">
        <v>1</v>
      </c>
      <c r="L62">
        <v>60001</v>
      </c>
      <c r="M62">
        <v>4719.9992190000003</v>
      </c>
      <c r="N62">
        <v>42.062523999999996</v>
      </c>
      <c r="O62">
        <v>71.068820233333327</v>
      </c>
      <c r="P62">
        <v>1</v>
      </c>
      <c r="Q62">
        <f>AVERAGE(P62:P91)</f>
        <v>1</v>
      </c>
      <c r="R62">
        <v>64720.999219999998</v>
      </c>
      <c r="S62">
        <v>64720.999519999998</v>
      </c>
      <c r="T62">
        <f>SUM(U62:U91)</f>
        <v>30</v>
      </c>
      <c r="U62">
        <v>1</v>
      </c>
      <c r="V62">
        <v>1</v>
      </c>
      <c r="W62">
        <v>1</v>
      </c>
      <c r="X62">
        <v>0</v>
      </c>
      <c r="Y62">
        <v>0</v>
      </c>
      <c r="Z62">
        <v>0</v>
      </c>
      <c r="AA62">
        <v>7.4999999999999997E-2</v>
      </c>
      <c r="AB62">
        <v>0.1489</v>
      </c>
      <c r="AC62">
        <v>41.680774</v>
      </c>
      <c r="AD62">
        <v>70.302420133333356</v>
      </c>
      <c r="AE62">
        <v>1</v>
      </c>
      <c r="AF62">
        <v>3160</v>
      </c>
      <c r="AG62">
        <f>AVERAGE(AF62:AF91)</f>
        <v>989.9</v>
      </c>
      <c r="AH62">
        <v>18</v>
      </c>
      <c r="AI62">
        <f>AVERAGE(AH62:AH91)</f>
        <v>10.233333333333333</v>
      </c>
      <c r="AJ62">
        <v>0</v>
      </c>
      <c r="AK62">
        <f>AVERAGE(AJ62:AJ91)</f>
        <v>0</v>
      </c>
      <c r="AL62">
        <v>120</v>
      </c>
      <c r="AM62">
        <v>555.70000000000005</v>
      </c>
      <c r="AN62">
        <v>3160</v>
      </c>
      <c r="AO62">
        <v>18</v>
      </c>
      <c r="AP62">
        <v>0</v>
      </c>
      <c r="AQ62">
        <v>120</v>
      </c>
      <c r="AR62">
        <v>16.818999999999999</v>
      </c>
      <c r="AS62">
        <v>121</v>
      </c>
      <c r="AT62">
        <f>AVERAGE(AS62:AS91)</f>
        <v>556.93333333333328</v>
      </c>
      <c r="AU62">
        <v>0.13900000000000001</v>
      </c>
      <c r="AV62">
        <f>AVERAGE(AU62:AU91)</f>
        <v>0.13818603333333332</v>
      </c>
    </row>
    <row r="63" spans="1:48" x14ac:dyDescent="0.3">
      <c r="A63" t="s">
        <v>98</v>
      </c>
      <c r="B63">
        <v>4799.9997080000003</v>
      </c>
      <c r="C63">
        <v>2.7244000000000001E-2</v>
      </c>
      <c r="D63">
        <v>637656</v>
      </c>
      <c r="E63">
        <v>2891376</v>
      </c>
      <c r="F63">
        <v>1.0720000000000001</v>
      </c>
      <c r="G63">
        <v>0.248</v>
      </c>
      <c r="H63">
        <v>60001</v>
      </c>
      <c r="I63">
        <v>0</v>
      </c>
      <c r="J63">
        <v>0</v>
      </c>
      <c r="K63">
        <v>1</v>
      </c>
      <c r="L63">
        <v>60001</v>
      </c>
      <c r="M63">
        <v>4799.9996819999997</v>
      </c>
      <c r="N63">
        <v>68.319938000000008</v>
      </c>
      <c r="P63">
        <v>1</v>
      </c>
      <c r="R63">
        <v>64800.999680000001</v>
      </c>
      <c r="S63">
        <v>64800.999709999996</v>
      </c>
      <c r="U63">
        <v>1</v>
      </c>
      <c r="V63">
        <v>1</v>
      </c>
      <c r="W63">
        <v>1</v>
      </c>
      <c r="X63">
        <v>0</v>
      </c>
      <c r="Y63">
        <v>0</v>
      </c>
      <c r="Z63">
        <v>0</v>
      </c>
      <c r="AA63">
        <v>0.248</v>
      </c>
      <c r="AC63">
        <v>66.972694000000004</v>
      </c>
      <c r="AE63">
        <v>1</v>
      </c>
      <c r="AF63">
        <v>978</v>
      </c>
      <c r="AH63">
        <v>11</v>
      </c>
      <c r="AJ63">
        <v>0</v>
      </c>
      <c r="AL63">
        <v>521</v>
      </c>
      <c r="AN63">
        <v>978</v>
      </c>
      <c r="AO63">
        <v>11</v>
      </c>
      <c r="AP63">
        <v>0</v>
      </c>
      <c r="AQ63">
        <v>521</v>
      </c>
      <c r="AR63">
        <v>57.51</v>
      </c>
      <c r="AS63">
        <v>522</v>
      </c>
      <c r="AU63">
        <v>0.11017200000000001</v>
      </c>
    </row>
    <row r="64" spans="1:48" x14ac:dyDescent="0.3">
      <c r="A64" t="s">
        <v>99</v>
      </c>
      <c r="B64">
        <v>4453.3329009999998</v>
      </c>
      <c r="C64">
        <v>2.0532999999999999E-2</v>
      </c>
      <c r="D64">
        <v>420480</v>
      </c>
      <c r="E64">
        <v>1823407</v>
      </c>
      <c r="F64">
        <v>0.64500000000000002</v>
      </c>
      <c r="G64">
        <v>0.153</v>
      </c>
      <c r="H64">
        <v>60001</v>
      </c>
      <c r="I64">
        <v>0</v>
      </c>
      <c r="J64">
        <v>0</v>
      </c>
      <c r="K64">
        <v>1</v>
      </c>
      <c r="L64">
        <v>60001</v>
      </c>
      <c r="M64">
        <v>4453.3325930000001</v>
      </c>
      <c r="N64">
        <v>213.59659600000001</v>
      </c>
      <c r="P64">
        <v>1</v>
      </c>
      <c r="R64">
        <v>64454.332589999998</v>
      </c>
      <c r="S64">
        <v>64454.332900000001</v>
      </c>
      <c r="U64">
        <v>1</v>
      </c>
      <c r="V64">
        <v>1</v>
      </c>
      <c r="W64">
        <v>1</v>
      </c>
      <c r="X64">
        <v>0</v>
      </c>
      <c r="Y64">
        <v>0</v>
      </c>
      <c r="Z64">
        <v>0</v>
      </c>
      <c r="AA64">
        <v>0.153</v>
      </c>
      <c r="AC64">
        <v>212.778063</v>
      </c>
      <c r="AE64">
        <v>1</v>
      </c>
      <c r="AF64">
        <v>975</v>
      </c>
      <c r="AH64">
        <v>22</v>
      </c>
      <c r="AJ64">
        <v>0</v>
      </c>
      <c r="AL64">
        <v>1717</v>
      </c>
      <c r="AN64">
        <v>975</v>
      </c>
      <c r="AO64">
        <v>22</v>
      </c>
      <c r="AP64">
        <v>0</v>
      </c>
      <c r="AQ64">
        <v>1717</v>
      </c>
      <c r="AR64">
        <v>172.61799999999999</v>
      </c>
      <c r="AS64">
        <v>1720</v>
      </c>
      <c r="AU64">
        <v>0.100359</v>
      </c>
    </row>
    <row r="65" spans="1:47" x14ac:dyDescent="0.3">
      <c r="A65" t="s">
        <v>100</v>
      </c>
      <c r="B65">
        <v>4453.3329009999998</v>
      </c>
      <c r="C65">
        <v>1.9806000000000001E-2</v>
      </c>
      <c r="D65">
        <v>230840</v>
      </c>
      <c r="E65">
        <v>906162</v>
      </c>
      <c r="F65">
        <v>0.30399999999999999</v>
      </c>
      <c r="G65">
        <v>8.2000000000000003E-2</v>
      </c>
      <c r="H65">
        <v>60001</v>
      </c>
      <c r="I65">
        <v>0</v>
      </c>
      <c r="J65">
        <v>0</v>
      </c>
      <c r="K65">
        <v>1</v>
      </c>
      <c r="L65">
        <v>60001</v>
      </c>
      <c r="M65">
        <v>4453.3330919999999</v>
      </c>
      <c r="N65">
        <v>2.6222820000000002</v>
      </c>
      <c r="P65">
        <v>1</v>
      </c>
      <c r="R65">
        <v>64454.33309</v>
      </c>
      <c r="S65">
        <v>64454.332900000001</v>
      </c>
      <c r="U65">
        <v>1</v>
      </c>
      <c r="V65">
        <v>1</v>
      </c>
      <c r="W65">
        <v>1</v>
      </c>
      <c r="X65">
        <v>0</v>
      </c>
      <c r="Y65">
        <v>0</v>
      </c>
      <c r="Z65">
        <v>0</v>
      </c>
      <c r="AA65">
        <v>8.2000000000000003E-2</v>
      </c>
      <c r="AC65">
        <v>2.2164760000000001</v>
      </c>
      <c r="AE65">
        <v>1</v>
      </c>
      <c r="AF65">
        <v>296</v>
      </c>
      <c r="AH65">
        <v>2</v>
      </c>
      <c r="AJ65">
        <v>0</v>
      </c>
      <c r="AL65">
        <v>3</v>
      </c>
      <c r="AN65">
        <v>296</v>
      </c>
      <c r="AO65">
        <v>2</v>
      </c>
      <c r="AP65">
        <v>0</v>
      </c>
      <c r="AQ65">
        <v>3</v>
      </c>
      <c r="AR65">
        <v>0.67700000000000005</v>
      </c>
      <c r="AS65">
        <v>4</v>
      </c>
      <c r="AU65">
        <v>0.16925000000000001</v>
      </c>
    </row>
    <row r="66" spans="1:47" x14ac:dyDescent="0.3">
      <c r="A66" t="s">
        <v>101</v>
      </c>
      <c r="B66">
        <v>4576.6661260000001</v>
      </c>
      <c r="C66">
        <v>2.4957E-2</v>
      </c>
      <c r="D66">
        <v>193058</v>
      </c>
      <c r="E66">
        <v>745015</v>
      </c>
      <c r="F66">
        <v>0.24199999999999999</v>
      </c>
      <c r="G66">
        <v>6.9000000000000006E-2</v>
      </c>
      <c r="H66">
        <v>60002</v>
      </c>
      <c r="I66">
        <v>0</v>
      </c>
      <c r="J66">
        <v>0</v>
      </c>
      <c r="K66">
        <v>1</v>
      </c>
      <c r="L66">
        <v>60002</v>
      </c>
      <c r="M66">
        <v>4576.6660910000001</v>
      </c>
      <c r="N66">
        <v>7.4789239999999992</v>
      </c>
      <c r="P66">
        <v>1</v>
      </c>
      <c r="R66">
        <v>64578.666089999999</v>
      </c>
      <c r="S66">
        <v>64578.666129999998</v>
      </c>
      <c r="U66">
        <v>1</v>
      </c>
      <c r="V66">
        <v>1</v>
      </c>
      <c r="W66">
        <v>1</v>
      </c>
      <c r="X66">
        <v>0</v>
      </c>
      <c r="Y66">
        <v>0</v>
      </c>
      <c r="Z66">
        <v>0</v>
      </c>
      <c r="AA66">
        <v>6.9000000000000006E-2</v>
      </c>
      <c r="AC66">
        <v>7.1429669999999996</v>
      </c>
      <c r="AE66">
        <v>1</v>
      </c>
      <c r="AF66">
        <v>339</v>
      </c>
      <c r="AH66">
        <v>12</v>
      </c>
      <c r="AJ66">
        <v>0</v>
      </c>
      <c r="AL66">
        <v>28</v>
      </c>
      <c r="AN66">
        <v>339</v>
      </c>
      <c r="AO66">
        <v>12</v>
      </c>
      <c r="AP66">
        <v>0</v>
      </c>
      <c r="AQ66">
        <v>28</v>
      </c>
      <c r="AR66">
        <v>4.2729999999999997</v>
      </c>
      <c r="AS66">
        <v>29</v>
      </c>
      <c r="AU66">
        <v>0.147345</v>
      </c>
    </row>
    <row r="67" spans="1:47" x14ac:dyDescent="0.3">
      <c r="A67" t="s">
        <v>102</v>
      </c>
      <c r="B67">
        <v>4506.6667260000004</v>
      </c>
      <c r="C67">
        <v>2.0775999999999999E-2</v>
      </c>
      <c r="D67">
        <v>222381</v>
      </c>
      <c r="E67">
        <v>923684</v>
      </c>
      <c r="F67">
        <v>0.29899999999999999</v>
      </c>
      <c r="G67">
        <v>7.8E-2</v>
      </c>
      <c r="H67">
        <v>60002</v>
      </c>
      <c r="I67">
        <v>0</v>
      </c>
      <c r="J67">
        <v>0</v>
      </c>
      <c r="K67">
        <v>1</v>
      </c>
      <c r="L67">
        <v>60002</v>
      </c>
      <c r="M67">
        <v>4506.6668209999998</v>
      </c>
      <c r="N67">
        <v>13.635996</v>
      </c>
      <c r="P67">
        <v>1</v>
      </c>
      <c r="R67">
        <v>64508.666819999999</v>
      </c>
      <c r="S67">
        <v>64508.666729999997</v>
      </c>
      <c r="U67">
        <v>1</v>
      </c>
      <c r="V67">
        <v>1</v>
      </c>
      <c r="W67">
        <v>1</v>
      </c>
      <c r="X67">
        <v>0</v>
      </c>
      <c r="Y67">
        <v>0</v>
      </c>
      <c r="Z67">
        <v>0</v>
      </c>
      <c r="AA67">
        <v>7.8E-2</v>
      </c>
      <c r="AC67">
        <v>13.23822</v>
      </c>
      <c r="AE67">
        <v>1</v>
      </c>
      <c r="AF67">
        <v>208</v>
      </c>
      <c r="AH67">
        <v>1</v>
      </c>
      <c r="AJ67">
        <v>0</v>
      </c>
      <c r="AL67">
        <v>76</v>
      </c>
      <c r="AN67">
        <v>208</v>
      </c>
      <c r="AO67">
        <v>1</v>
      </c>
      <c r="AP67">
        <v>0</v>
      </c>
      <c r="AQ67">
        <v>76</v>
      </c>
      <c r="AR67">
        <v>10.821999999999999</v>
      </c>
      <c r="AS67">
        <v>77</v>
      </c>
      <c r="AU67">
        <v>0.140545</v>
      </c>
    </row>
    <row r="68" spans="1:47" x14ac:dyDescent="0.3">
      <c r="A68" t="s">
        <v>103</v>
      </c>
      <c r="B68">
        <v>4573.3333709999997</v>
      </c>
      <c r="C68">
        <v>2.5113E-2</v>
      </c>
      <c r="D68">
        <v>790426</v>
      </c>
      <c r="E68">
        <v>3648162</v>
      </c>
      <c r="F68">
        <v>1.3819999999999999</v>
      </c>
      <c r="G68">
        <v>0.32200000000000001</v>
      </c>
      <c r="H68">
        <v>60001</v>
      </c>
      <c r="I68">
        <v>0</v>
      </c>
      <c r="J68">
        <v>0</v>
      </c>
      <c r="K68">
        <v>1</v>
      </c>
      <c r="L68">
        <v>60001</v>
      </c>
      <c r="M68">
        <v>4573.3333460000003</v>
      </c>
      <c r="N68">
        <v>12.487572999999999</v>
      </c>
      <c r="P68">
        <v>1</v>
      </c>
      <c r="R68">
        <v>64574.333350000001</v>
      </c>
      <c r="S68">
        <v>64574.33337</v>
      </c>
      <c r="U68">
        <v>1</v>
      </c>
      <c r="V68">
        <v>1</v>
      </c>
      <c r="W68">
        <v>1</v>
      </c>
      <c r="X68">
        <v>0</v>
      </c>
      <c r="Y68">
        <v>0</v>
      </c>
      <c r="Z68">
        <v>0</v>
      </c>
      <c r="AA68">
        <v>0.32200000000000001</v>
      </c>
      <c r="AC68">
        <v>10.758459999999999</v>
      </c>
      <c r="AE68">
        <v>1</v>
      </c>
      <c r="AF68">
        <v>112</v>
      </c>
      <c r="AH68">
        <v>1</v>
      </c>
      <c r="AJ68">
        <v>0</v>
      </c>
      <c r="AL68">
        <v>41</v>
      </c>
      <c r="AN68">
        <v>112</v>
      </c>
      <c r="AO68">
        <v>1</v>
      </c>
      <c r="AP68">
        <v>0</v>
      </c>
      <c r="AQ68">
        <v>41</v>
      </c>
      <c r="AR68">
        <v>5.5949999999999998</v>
      </c>
      <c r="AS68">
        <v>42</v>
      </c>
      <c r="AU68">
        <v>0.133214</v>
      </c>
    </row>
    <row r="69" spans="1:47" x14ac:dyDescent="0.3">
      <c r="A69" t="s">
        <v>104</v>
      </c>
      <c r="B69">
        <v>4546.6665860000003</v>
      </c>
      <c r="C69">
        <v>2.6662999999999999E-2</v>
      </c>
      <c r="D69">
        <v>382533</v>
      </c>
      <c r="E69">
        <v>1684428</v>
      </c>
      <c r="F69">
        <v>0.60199999999999998</v>
      </c>
      <c r="G69">
        <v>0.13500000000000001</v>
      </c>
      <c r="H69">
        <v>60001</v>
      </c>
      <c r="I69">
        <v>0</v>
      </c>
      <c r="J69">
        <v>0</v>
      </c>
      <c r="K69">
        <v>1</v>
      </c>
      <c r="L69">
        <v>60001</v>
      </c>
      <c r="M69">
        <v>4546.6665629999998</v>
      </c>
      <c r="N69">
        <v>14.674318999999999</v>
      </c>
      <c r="P69">
        <v>1</v>
      </c>
      <c r="R69">
        <v>64547.666559999998</v>
      </c>
      <c r="S69">
        <v>64547.666590000001</v>
      </c>
      <c r="U69">
        <v>1</v>
      </c>
      <c r="V69">
        <v>1</v>
      </c>
      <c r="W69">
        <v>1</v>
      </c>
      <c r="X69">
        <v>0</v>
      </c>
      <c r="Y69">
        <v>0</v>
      </c>
      <c r="Z69">
        <v>0</v>
      </c>
      <c r="AA69">
        <v>0.13500000000000001</v>
      </c>
      <c r="AC69">
        <v>13.910655999999999</v>
      </c>
      <c r="AE69">
        <v>1</v>
      </c>
      <c r="AF69">
        <v>455</v>
      </c>
      <c r="AH69">
        <v>6</v>
      </c>
      <c r="AJ69">
        <v>0</v>
      </c>
      <c r="AL69">
        <v>97</v>
      </c>
      <c r="AN69">
        <v>455</v>
      </c>
      <c r="AO69">
        <v>6</v>
      </c>
      <c r="AP69">
        <v>0</v>
      </c>
      <c r="AQ69">
        <v>97</v>
      </c>
      <c r="AR69">
        <v>11.005000000000001</v>
      </c>
      <c r="AS69">
        <v>98</v>
      </c>
      <c r="AU69">
        <v>0.11229600000000001</v>
      </c>
    </row>
    <row r="70" spans="1:47" x14ac:dyDescent="0.3">
      <c r="A70" t="s">
        <v>105</v>
      </c>
      <c r="B70">
        <v>4829.9997030000004</v>
      </c>
      <c r="C70">
        <v>2.9909999999999999E-2</v>
      </c>
      <c r="D70">
        <v>92808</v>
      </c>
      <c r="E70">
        <v>328829</v>
      </c>
      <c r="F70">
        <v>9.9000000000000005E-2</v>
      </c>
      <c r="G70">
        <v>3.1E-2</v>
      </c>
      <c r="H70">
        <v>70001</v>
      </c>
      <c r="I70">
        <v>0</v>
      </c>
      <c r="J70">
        <v>0</v>
      </c>
      <c r="K70">
        <v>1</v>
      </c>
      <c r="L70">
        <v>70001</v>
      </c>
      <c r="M70">
        <v>4829.9998939999996</v>
      </c>
      <c r="N70">
        <v>22.364712000000001</v>
      </c>
      <c r="P70">
        <v>1</v>
      </c>
      <c r="R70">
        <v>74830.999890000006</v>
      </c>
      <c r="S70">
        <v>74830.9997</v>
      </c>
      <c r="U70">
        <v>1</v>
      </c>
      <c r="V70">
        <v>1</v>
      </c>
      <c r="W70">
        <v>1</v>
      </c>
      <c r="X70">
        <v>0</v>
      </c>
      <c r="Y70">
        <v>0</v>
      </c>
      <c r="Z70">
        <v>0</v>
      </c>
      <c r="AA70">
        <v>3.1E-2</v>
      </c>
      <c r="AC70">
        <v>22.204802000000001</v>
      </c>
      <c r="AE70">
        <v>1</v>
      </c>
      <c r="AF70">
        <v>84</v>
      </c>
      <c r="AH70">
        <v>8</v>
      </c>
      <c r="AJ70">
        <v>0</v>
      </c>
      <c r="AL70">
        <v>170</v>
      </c>
      <c r="AN70">
        <v>84</v>
      </c>
      <c r="AO70">
        <v>8</v>
      </c>
      <c r="AP70">
        <v>0</v>
      </c>
      <c r="AQ70">
        <v>170</v>
      </c>
      <c r="AR70">
        <v>18.762</v>
      </c>
      <c r="AS70">
        <v>172</v>
      </c>
      <c r="AU70">
        <v>0.109081</v>
      </c>
    </row>
    <row r="71" spans="1:47" x14ac:dyDescent="0.3">
      <c r="A71" t="s">
        <v>106</v>
      </c>
      <c r="B71">
        <v>4423.3330669999996</v>
      </c>
      <c r="C71">
        <v>2.6395999999999999E-2</v>
      </c>
      <c r="D71">
        <v>180099</v>
      </c>
      <c r="E71">
        <v>689525</v>
      </c>
      <c r="F71">
        <v>0.223</v>
      </c>
      <c r="G71">
        <v>6.4000000000000001E-2</v>
      </c>
      <c r="H71">
        <v>70002</v>
      </c>
      <c r="I71">
        <v>0</v>
      </c>
      <c r="J71">
        <v>0</v>
      </c>
      <c r="K71">
        <v>1</v>
      </c>
      <c r="L71">
        <v>70002</v>
      </c>
      <c r="M71">
        <v>4423.333036</v>
      </c>
      <c r="N71">
        <v>44.607948999999998</v>
      </c>
      <c r="P71">
        <v>1</v>
      </c>
      <c r="R71">
        <v>74425.333039999998</v>
      </c>
      <c r="S71">
        <v>74425.333069999993</v>
      </c>
      <c r="U71">
        <v>1</v>
      </c>
      <c r="V71">
        <v>1</v>
      </c>
      <c r="W71">
        <v>1</v>
      </c>
      <c r="X71">
        <v>0</v>
      </c>
      <c r="Y71">
        <v>0</v>
      </c>
      <c r="Z71">
        <v>0</v>
      </c>
      <c r="AA71">
        <v>6.4000000000000001E-2</v>
      </c>
      <c r="AC71">
        <v>44.294553000000001</v>
      </c>
      <c r="AE71">
        <v>1</v>
      </c>
      <c r="AF71">
        <v>1013</v>
      </c>
      <c r="AH71">
        <v>13</v>
      </c>
      <c r="AJ71">
        <v>0</v>
      </c>
      <c r="AL71">
        <v>177</v>
      </c>
      <c r="AN71">
        <v>1013</v>
      </c>
      <c r="AO71">
        <v>13</v>
      </c>
      <c r="AP71">
        <v>0</v>
      </c>
      <c r="AQ71">
        <v>177</v>
      </c>
      <c r="AR71">
        <v>24.4</v>
      </c>
      <c r="AS71">
        <v>178</v>
      </c>
      <c r="AU71">
        <v>0.13707900000000001</v>
      </c>
    </row>
    <row r="72" spans="1:47" x14ac:dyDescent="0.3">
      <c r="A72" t="s">
        <v>107</v>
      </c>
      <c r="B72">
        <v>4949.999452</v>
      </c>
      <c r="C72">
        <v>2.6218999999999999E-2</v>
      </c>
      <c r="D72">
        <v>541416</v>
      </c>
      <c r="E72">
        <v>2427874</v>
      </c>
      <c r="F72">
        <v>0.88500000000000001</v>
      </c>
      <c r="G72">
        <v>0.218</v>
      </c>
      <c r="H72">
        <v>70001</v>
      </c>
      <c r="I72">
        <v>0</v>
      </c>
      <c r="J72">
        <v>0</v>
      </c>
      <c r="K72">
        <v>1</v>
      </c>
      <c r="L72">
        <v>70001</v>
      </c>
      <c r="M72">
        <v>4949.9994399999996</v>
      </c>
      <c r="N72">
        <v>112.88922100000001</v>
      </c>
      <c r="P72">
        <v>1</v>
      </c>
      <c r="R72">
        <v>74950.99944</v>
      </c>
      <c r="S72">
        <v>74950.999450000003</v>
      </c>
      <c r="U72">
        <v>1</v>
      </c>
      <c r="V72">
        <v>1</v>
      </c>
      <c r="W72">
        <v>1</v>
      </c>
      <c r="X72">
        <v>0</v>
      </c>
      <c r="Y72">
        <v>0</v>
      </c>
      <c r="Z72">
        <v>0</v>
      </c>
      <c r="AA72">
        <v>0.218</v>
      </c>
      <c r="AC72">
        <v>111.760002</v>
      </c>
      <c r="AE72">
        <v>1</v>
      </c>
      <c r="AF72">
        <v>3473</v>
      </c>
      <c r="AH72">
        <v>22</v>
      </c>
      <c r="AJ72">
        <v>0</v>
      </c>
      <c r="AL72">
        <v>871</v>
      </c>
      <c r="AN72">
        <v>3473</v>
      </c>
      <c r="AO72">
        <v>22</v>
      </c>
      <c r="AP72">
        <v>0</v>
      </c>
      <c r="AQ72">
        <v>871</v>
      </c>
      <c r="AR72">
        <v>90.058999999999997</v>
      </c>
      <c r="AS72">
        <v>872</v>
      </c>
      <c r="AU72">
        <v>0.103279</v>
      </c>
    </row>
    <row r="73" spans="1:47" x14ac:dyDescent="0.3">
      <c r="A73" t="s">
        <v>108</v>
      </c>
      <c r="B73">
        <v>4410.0003109999998</v>
      </c>
      <c r="C73">
        <v>2.5753000000000002E-2</v>
      </c>
      <c r="D73">
        <v>260323</v>
      </c>
      <c r="E73">
        <v>1028185</v>
      </c>
      <c r="F73">
        <v>0.35</v>
      </c>
      <c r="G73">
        <v>8.8999999999999996E-2</v>
      </c>
      <c r="H73">
        <v>60002</v>
      </c>
      <c r="I73">
        <v>0</v>
      </c>
      <c r="J73">
        <v>0</v>
      </c>
      <c r="K73">
        <v>1</v>
      </c>
      <c r="L73">
        <v>60002</v>
      </c>
      <c r="M73">
        <v>4410.0003109999998</v>
      </c>
      <c r="N73">
        <v>3.6784590000000001</v>
      </c>
      <c r="P73">
        <v>1</v>
      </c>
      <c r="R73">
        <v>64412.000310000003</v>
      </c>
      <c r="S73">
        <v>64412.000310000003</v>
      </c>
      <c r="U73">
        <v>1</v>
      </c>
      <c r="V73">
        <v>1</v>
      </c>
      <c r="W73">
        <v>1</v>
      </c>
      <c r="X73">
        <v>0</v>
      </c>
      <c r="Y73">
        <v>0</v>
      </c>
      <c r="Z73">
        <v>0</v>
      </c>
      <c r="AA73">
        <v>8.8999999999999996E-2</v>
      </c>
      <c r="AC73">
        <v>3.2137060000000002</v>
      </c>
      <c r="AE73">
        <v>1</v>
      </c>
      <c r="AF73">
        <v>431</v>
      </c>
      <c r="AH73">
        <v>1</v>
      </c>
      <c r="AJ73">
        <v>0</v>
      </c>
      <c r="AL73">
        <v>2</v>
      </c>
      <c r="AN73">
        <v>431</v>
      </c>
      <c r="AO73">
        <v>1</v>
      </c>
      <c r="AP73">
        <v>0</v>
      </c>
      <c r="AQ73">
        <v>2</v>
      </c>
      <c r="AR73">
        <v>0.753</v>
      </c>
      <c r="AS73">
        <v>3</v>
      </c>
      <c r="AU73">
        <v>0.251</v>
      </c>
    </row>
    <row r="74" spans="1:47" x14ac:dyDescent="0.3">
      <c r="A74" t="s">
        <v>109</v>
      </c>
      <c r="B74">
        <v>4423.3330669999996</v>
      </c>
      <c r="C74">
        <v>2.5930000000000002E-2</v>
      </c>
      <c r="D74">
        <v>220769</v>
      </c>
      <c r="E74">
        <v>893995</v>
      </c>
      <c r="F74">
        <v>0.28999999999999998</v>
      </c>
      <c r="G74">
        <v>0.08</v>
      </c>
      <c r="H74">
        <v>60004</v>
      </c>
      <c r="I74">
        <v>0</v>
      </c>
      <c r="J74">
        <v>0</v>
      </c>
      <c r="K74">
        <v>1</v>
      </c>
      <c r="L74">
        <v>60004</v>
      </c>
      <c r="M74">
        <v>4423.3330669999996</v>
      </c>
      <c r="N74">
        <v>3.971711</v>
      </c>
      <c r="P74">
        <v>1</v>
      </c>
      <c r="R74">
        <v>64427.333070000001</v>
      </c>
      <c r="S74">
        <v>64427.333070000001</v>
      </c>
      <c r="U74">
        <v>1</v>
      </c>
      <c r="V74">
        <v>1</v>
      </c>
      <c r="W74">
        <v>1</v>
      </c>
      <c r="X74">
        <v>0</v>
      </c>
      <c r="Y74">
        <v>0</v>
      </c>
      <c r="Z74">
        <v>0</v>
      </c>
      <c r="AA74">
        <v>0.08</v>
      </c>
      <c r="AC74">
        <v>3.5757810000000001</v>
      </c>
      <c r="AE74">
        <v>1</v>
      </c>
      <c r="AF74">
        <v>42</v>
      </c>
      <c r="AH74">
        <v>5</v>
      </c>
      <c r="AJ74">
        <v>0</v>
      </c>
      <c r="AL74">
        <v>8</v>
      </c>
      <c r="AN74">
        <v>42</v>
      </c>
      <c r="AO74">
        <v>5</v>
      </c>
      <c r="AP74">
        <v>0</v>
      </c>
      <c r="AQ74">
        <v>8</v>
      </c>
      <c r="AR74">
        <v>2.4089999999999998</v>
      </c>
      <c r="AS74">
        <v>9</v>
      </c>
      <c r="AU74">
        <v>0.26766699999999999</v>
      </c>
    </row>
    <row r="75" spans="1:47" x14ac:dyDescent="0.3">
      <c r="A75" t="s">
        <v>110</v>
      </c>
      <c r="B75">
        <v>4719.9995220000001</v>
      </c>
      <c r="C75">
        <v>4.7150999999999998E-2</v>
      </c>
      <c r="D75">
        <v>206892</v>
      </c>
      <c r="E75">
        <v>859745</v>
      </c>
      <c r="F75">
        <v>0.27800000000000002</v>
      </c>
      <c r="G75">
        <v>7.0999999999999994E-2</v>
      </c>
      <c r="H75">
        <v>60002</v>
      </c>
      <c r="I75">
        <v>0</v>
      </c>
      <c r="J75">
        <v>0</v>
      </c>
      <c r="K75">
        <v>1</v>
      </c>
      <c r="L75">
        <v>60002</v>
      </c>
      <c r="M75">
        <v>4719.999331</v>
      </c>
      <c r="N75">
        <v>5.8605529999999995</v>
      </c>
      <c r="P75">
        <v>1</v>
      </c>
      <c r="R75">
        <v>64721.999329999999</v>
      </c>
      <c r="S75">
        <v>64721.999519999998</v>
      </c>
      <c r="U75">
        <v>1</v>
      </c>
      <c r="V75">
        <v>1</v>
      </c>
      <c r="W75">
        <v>1</v>
      </c>
      <c r="X75">
        <v>0</v>
      </c>
      <c r="Y75">
        <v>0</v>
      </c>
      <c r="Z75">
        <v>0</v>
      </c>
      <c r="AA75">
        <v>7.0999999999999994E-2</v>
      </c>
      <c r="AC75">
        <v>5.4644019999999998</v>
      </c>
      <c r="AE75">
        <v>1</v>
      </c>
      <c r="AF75">
        <v>543</v>
      </c>
      <c r="AH75">
        <v>6</v>
      </c>
      <c r="AJ75">
        <v>0</v>
      </c>
      <c r="AL75">
        <v>23</v>
      </c>
      <c r="AN75">
        <v>543</v>
      </c>
      <c r="AO75">
        <v>6</v>
      </c>
      <c r="AP75">
        <v>0</v>
      </c>
      <c r="AQ75">
        <v>23</v>
      </c>
      <c r="AR75">
        <v>3.2509999999999999</v>
      </c>
      <c r="AS75">
        <v>24</v>
      </c>
      <c r="AU75">
        <v>0.135458</v>
      </c>
    </row>
    <row r="76" spans="1:47" x14ac:dyDescent="0.3">
      <c r="A76" t="s">
        <v>111</v>
      </c>
      <c r="B76">
        <v>4373.3333169999996</v>
      </c>
      <c r="C76">
        <v>1.9033999999999999E-2</v>
      </c>
      <c r="D76">
        <v>469580</v>
      </c>
      <c r="E76">
        <v>2077539</v>
      </c>
      <c r="F76">
        <v>0.749</v>
      </c>
      <c r="G76">
        <v>0.17100000000000001</v>
      </c>
      <c r="H76">
        <v>60001</v>
      </c>
      <c r="I76">
        <v>0</v>
      </c>
      <c r="J76">
        <v>0</v>
      </c>
      <c r="K76">
        <v>1</v>
      </c>
      <c r="L76">
        <v>60001</v>
      </c>
      <c r="M76">
        <v>4373.333251</v>
      </c>
      <c r="N76">
        <v>5.5099430000000007</v>
      </c>
      <c r="P76">
        <v>1</v>
      </c>
      <c r="R76">
        <v>64374.333250000003</v>
      </c>
      <c r="S76">
        <v>64374.333319999998</v>
      </c>
      <c r="U76">
        <v>1</v>
      </c>
      <c r="V76">
        <v>1</v>
      </c>
      <c r="W76">
        <v>1</v>
      </c>
      <c r="X76">
        <v>0</v>
      </c>
      <c r="Y76">
        <v>0</v>
      </c>
      <c r="Z76">
        <v>0</v>
      </c>
      <c r="AA76">
        <v>0.17100000000000001</v>
      </c>
      <c r="AC76">
        <v>4.5709090000000003</v>
      </c>
      <c r="AE76">
        <v>1</v>
      </c>
      <c r="AF76">
        <v>30</v>
      </c>
      <c r="AH76">
        <v>1</v>
      </c>
      <c r="AJ76">
        <v>0</v>
      </c>
      <c r="AL76">
        <v>5</v>
      </c>
      <c r="AN76">
        <v>30</v>
      </c>
      <c r="AO76">
        <v>1</v>
      </c>
      <c r="AP76">
        <v>0</v>
      </c>
      <c r="AQ76">
        <v>5</v>
      </c>
      <c r="AR76">
        <v>1.2010000000000001</v>
      </c>
      <c r="AS76">
        <v>6</v>
      </c>
      <c r="AU76">
        <v>0.20016700000000001</v>
      </c>
    </row>
    <row r="77" spans="1:47" x14ac:dyDescent="0.3">
      <c r="A77" t="s">
        <v>112</v>
      </c>
      <c r="B77">
        <v>4610.000223</v>
      </c>
      <c r="C77">
        <v>2.7144000000000001E-2</v>
      </c>
      <c r="D77">
        <v>481336</v>
      </c>
      <c r="E77">
        <v>2129664</v>
      </c>
      <c r="F77">
        <v>0.77500000000000002</v>
      </c>
      <c r="G77">
        <v>0.17899999999999999</v>
      </c>
      <c r="H77">
        <v>60001</v>
      </c>
      <c r="I77">
        <v>0</v>
      </c>
      <c r="J77">
        <v>0</v>
      </c>
      <c r="K77">
        <v>1</v>
      </c>
      <c r="L77">
        <v>60001</v>
      </c>
      <c r="M77">
        <v>4610.000223</v>
      </c>
      <c r="N77">
        <v>257.89949399999995</v>
      </c>
      <c r="P77">
        <v>1</v>
      </c>
      <c r="R77">
        <v>64611.000220000002</v>
      </c>
      <c r="S77">
        <v>64611.000220000002</v>
      </c>
      <c r="U77">
        <v>1</v>
      </c>
      <c r="V77">
        <v>1</v>
      </c>
      <c r="W77">
        <v>1</v>
      </c>
      <c r="X77">
        <v>0</v>
      </c>
      <c r="Y77">
        <v>0</v>
      </c>
      <c r="Z77">
        <v>0</v>
      </c>
      <c r="AA77">
        <v>0.17899999999999999</v>
      </c>
      <c r="AC77">
        <v>256.91834999999998</v>
      </c>
      <c r="AE77">
        <v>1</v>
      </c>
      <c r="AF77">
        <v>1983</v>
      </c>
      <c r="AH77">
        <v>18</v>
      </c>
      <c r="AJ77">
        <v>0</v>
      </c>
      <c r="AL77">
        <v>2332</v>
      </c>
      <c r="AN77">
        <v>1983</v>
      </c>
      <c r="AO77">
        <v>18</v>
      </c>
      <c r="AP77">
        <v>0</v>
      </c>
      <c r="AQ77">
        <v>2332</v>
      </c>
      <c r="AR77">
        <v>229.541</v>
      </c>
      <c r="AS77">
        <v>2334</v>
      </c>
      <c r="AU77">
        <v>9.8347000000000004E-2</v>
      </c>
    </row>
    <row r="78" spans="1:47" x14ac:dyDescent="0.3">
      <c r="A78" t="s">
        <v>113</v>
      </c>
      <c r="B78">
        <v>4603.3325580000001</v>
      </c>
      <c r="C78">
        <v>2.2040000000000001E-2</v>
      </c>
      <c r="D78">
        <v>852484</v>
      </c>
      <c r="E78">
        <v>3950160</v>
      </c>
      <c r="F78">
        <v>1.5349999999999999</v>
      </c>
      <c r="G78">
        <v>0.35799999999999998</v>
      </c>
      <c r="H78">
        <v>60001</v>
      </c>
      <c r="I78">
        <v>0</v>
      </c>
      <c r="J78">
        <v>0</v>
      </c>
      <c r="K78">
        <v>1</v>
      </c>
      <c r="L78">
        <v>60001</v>
      </c>
      <c r="M78">
        <v>4603.3325580000001</v>
      </c>
      <c r="N78">
        <v>26.619631000000002</v>
      </c>
      <c r="P78">
        <v>1</v>
      </c>
      <c r="R78">
        <v>64604.332560000003</v>
      </c>
      <c r="S78">
        <v>64604.332560000003</v>
      </c>
      <c r="U78">
        <v>1</v>
      </c>
      <c r="V78">
        <v>1</v>
      </c>
      <c r="W78">
        <v>1</v>
      </c>
      <c r="X78">
        <v>0</v>
      </c>
      <c r="Y78">
        <v>0</v>
      </c>
      <c r="Z78">
        <v>0</v>
      </c>
      <c r="AA78">
        <v>0.35799999999999998</v>
      </c>
      <c r="AC78">
        <v>24.704591000000001</v>
      </c>
      <c r="AE78">
        <v>1</v>
      </c>
      <c r="AF78">
        <v>1555</v>
      </c>
      <c r="AH78">
        <v>6</v>
      </c>
      <c r="AJ78">
        <v>0</v>
      </c>
      <c r="AL78">
        <v>169</v>
      </c>
      <c r="AN78">
        <v>1555</v>
      </c>
      <c r="AO78">
        <v>6</v>
      </c>
      <c r="AP78">
        <v>0</v>
      </c>
      <c r="AQ78">
        <v>169</v>
      </c>
      <c r="AR78">
        <v>18.818000000000001</v>
      </c>
      <c r="AS78">
        <v>170</v>
      </c>
      <c r="AU78">
        <v>0.110694</v>
      </c>
    </row>
    <row r="79" spans="1:47" x14ac:dyDescent="0.3">
      <c r="A79" t="s">
        <v>114</v>
      </c>
      <c r="B79">
        <v>4670.0000579999996</v>
      </c>
      <c r="C79">
        <v>2.4747999999999999E-2</v>
      </c>
      <c r="D79">
        <v>448729</v>
      </c>
      <c r="E79">
        <v>1989838</v>
      </c>
      <c r="F79">
        <v>0.71599999999999997</v>
      </c>
      <c r="G79">
        <v>0.16300000000000001</v>
      </c>
      <c r="H79">
        <v>60002</v>
      </c>
      <c r="I79">
        <v>0</v>
      </c>
      <c r="J79">
        <v>0</v>
      </c>
      <c r="K79">
        <v>1</v>
      </c>
      <c r="L79">
        <v>60002</v>
      </c>
      <c r="M79">
        <v>4670.0000579999996</v>
      </c>
      <c r="N79">
        <v>33.323950000000004</v>
      </c>
      <c r="P79">
        <v>1</v>
      </c>
      <c r="R79">
        <v>64672.000059999998</v>
      </c>
      <c r="S79">
        <v>64672.000059999998</v>
      </c>
      <c r="U79">
        <v>1</v>
      </c>
      <c r="V79">
        <v>1</v>
      </c>
      <c r="W79">
        <v>1</v>
      </c>
      <c r="X79">
        <v>0</v>
      </c>
      <c r="Y79">
        <v>0</v>
      </c>
      <c r="Z79">
        <v>0</v>
      </c>
      <c r="AA79">
        <v>0.16300000000000001</v>
      </c>
      <c r="AC79">
        <v>32.420202000000003</v>
      </c>
      <c r="AE79">
        <v>1</v>
      </c>
      <c r="AF79">
        <v>2325</v>
      </c>
      <c r="AH79">
        <v>13</v>
      </c>
      <c r="AJ79">
        <v>0</v>
      </c>
      <c r="AL79">
        <v>234</v>
      </c>
      <c r="AN79">
        <v>2325</v>
      </c>
      <c r="AO79">
        <v>13</v>
      </c>
      <c r="AP79">
        <v>0</v>
      </c>
      <c r="AQ79">
        <v>234</v>
      </c>
      <c r="AR79">
        <v>25.215</v>
      </c>
      <c r="AS79">
        <v>235</v>
      </c>
      <c r="AU79">
        <v>0.107298</v>
      </c>
    </row>
    <row r="80" spans="1:47" x14ac:dyDescent="0.3">
      <c r="A80" t="s">
        <v>115</v>
      </c>
      <c r="B80">
        <v>4559.9995170000002</v>
      </c>
      <c r="C80">
        <v>2.7864E-2</v>
      </c>
      <c r="D80">
        <v>420904</v>
      </c>
      <c r="E80">
        <v>1824682</v>
      </c>
      <c r="F80">
        <v>0.66400000000000003</v>
      </c>
      <c r="G80">
        <v>0.19800000000000001</v>
      </c>
      <c r="H80">
        <v>60002</v>
      </c>
      <c r="I80">
        <v>0</v>
      </c>
      <c r="J80">
        <v>0</v>
      </c>
      <c r="K80">
        <v>1</v>
      </c>
      <c r="L80">
        <v>60002</v>
      </c>
      <c r="M80">
        <v>4559.9995040000003</v>
      </c>
      <c r="N80">
        <v>38.994205000000001</v>
      </c>
      <c r="P80">
        <v>1</v>
      </c>
      <c r="R80">
        <v>64561.999499999998</v>
      </c>
      <c r="S80">
        <v>64561.999519999998</v>
      </c>
      <c r="U80">
        <v>1</v>
      </c>
      <c r="V80">
        <v>1</v>
      </c>
      <c r="W80">
        <v>1</v>
      </c>
      <c r="X80">
        <v>0</v>
      </c>
      <c r="Y80">
        <v>0</v>
      </c>
      <c r="Z80">
        <v>0</v>
      </c>
      <c r="AA80">
        <v>0.19800000000000001</v>
      </c>
      <c r="AC80">
        <v>38.104340999999998</v>
      </c>
      <c r="AE80">
        <v>1</v>
      </c>
      <c r="AF80">
        <v>570</v>
      </c>
      <c r="AH80">
        <v>3</v>
      </c>
      <c r="AJ80">
        <v>0</v>
      </c>
      <c r="AL80">
        <v>289</v>
      </c>
      <c r="AN80">
        <v>570</v>
      </c>
      <c r="AO80">
        <v>3</v>
      </c>
      <c r="AP80">
        <v>0</v>
      </c>
      <c r="AQ80">
        <v>289</v>
      </c>
      <c r="AR80">
        <v>32.756</v>
      </c>
      <c r="AS80">
        <v>290</v>
      </c>
      <c r="AU80">
        <v>0.112952</v>
      </c>
    </row>
    <row r="81" spans="1:48" x14ac:dyDescent="0.3">
      <c r="A81" t="s">
        <v>116</v>
      </c>
      <c r="B81">
        <v>4493.3327669999999</v>
      </c>
      <c r="C81">
        <v>1.9442999999999998E-2</v>
      </c>
      <c r="D81">
        <v>479803</v>
      </c>
      <c r="E81">
        <v>2098266</v>
      </c>
      <c r="F81">
        <v>0.745</v>
      </c>
      <c r="G81">
        <v>0.18</v>
      </c>
      <c r="H81">
        <v>60001</v>
      </c>
      <c r="I81">
        <v>0</v>
      </c>
      <c r="J81">
        <v>0</v>
      </c>
      <c r="K81">
        <v>1</v>
      </c>
      <c r="L81">
        <v>60001</v>
      </c>
      <c r="M81">
        <v>4493.3327449999997</v>
      </c>
      <c r="N81">
        <v>48.959617000000001</v>
      </c>
      <c r="P81">
        <v>1</v>
      </c>
      <c r="R81">
        <v>64494.332750000001</v>
      </c>
      <c r="S81">
        <v>64494.332770000001</v>
      </c>
      <c r="U81">
        <v>1</v>
      </c>
      <c r="V81">
        <v>1</v>
      </c>
      <c r="W81">
        <v>1</v>
      </c>
      <c r="X81">
        <v>0</v>
      </c>
      <c r="Y81">
        <v>0</v>
      </c>
      <c r="Z81">
        <v>0</v>
      </c>
      <c r="AA81">
        <v>0.18</v>
      </c>
      <c r="AC81">
        <v>48.015174000000002</v>
      </c>
      <c r="AE81">
        <v>1</v>
      </c>
      <c r="AF81">
        <v>168</v>
      </c>
      <c r="AH81">
        <v>12</v>
      </c>
      <c r="AJ81">
        <v>0</v>
      </c>
      <c r="AL81">
        <v>324</v>
      </c>
      <c r="AN81">
        <v>168</v>
      </c>
      <c r="AO81">
        <v>12</v>
      </c>
      <c r="AP81">
        <v>0</v>
      </c>
      <c r="AQ81">
        <v>324</v>
      </c>
      <c r="AR81">
        <v>37.603999999999999</v>
      </c>
      <c r="AS81">
        <v>325</v>
      </c>
      <c r="AU81">
        <v>0.115705</v>
      </c>
    </row>
    <row r="82" spans="1:48" x14ac:dyDescent="0.3">
      <c r="A82" t="s">
        <v>117</v>
      </c>
      <c r="B82">
        <v>4519.9996709999996</v>
      </c>
      <c r="C82">
        <v>2.5919999999999999E-2</v>
      </c>
      <c r="D82">
        <v>793339</v>
      </c>
      <c r="E82">
        <v>3660950</v>
      </c>
      <c r="F82">
        <v>1.4330000000000001</v>
      </c>
      <c r="G82">
        <v>0.317</v>
      </c>
      <c r="H82">
        <v>60001</v>
      </c>
      <c r="I82">
        <v>0</v>
      </c>
      <c r="J82">
        <v>0</v>
      </c>
      <c r="K82">
        <v>1</v>
      </c>
      <c r="L82">
        <v>60001</v>
      </c>
      <c r="M82">
        <v>4519.9994800000004</v>
      </c>
      <c r="N82">
        <v>135.16765000000001</v>
      </c>
      <c r="P82">
        <v>1</v>
      </c>
      <c r="R82">
        <v>64520.999479999999</v>
      </c>
      <c r="S82">
        <v>64520.999669999997</v>
      </c>
      <c r="U82">
        <v>1</v>
      </c>
      <c r="V82">
        <v>1</v>
      </c>
      <c r="W82">
        <v>1</v>
      </c>
      <c r="X82">
        <v>0</v>
      </c>
      <c r="Y82">
        <v>0</v>
      </c>
      <c r="Z82">
        <v>0</v>
      </c>
      <c r="AA82">
        <v>0.317</v>
      </c>
      <c r="AC82">
        <v>133.39173</v>
      </c>
      <c r="AE82">
        <v>1</v>
      </c>
      <c r="AF82">
        <v>3876</v>
      </c>
      <c r="AH82">
        <v>15</v>
      </c>
      <c r="AJ82">
        <v>0</v>
      </c>
      <c r="AL82">
        <v>1039</v>
      </c>
      <c r="AN82">
        <v>3876</v>
      </c>
      <c r="AO82">
        <v>15</v>
      </c>
      <c r="AP82">
        <v>0</v>
      </c>
      <c r="AQ82">
        <v>1039</v>
      </c>
      <c r="AR82">
        <v>103.974</v>
      </c>
      <c r="AS82">
        <v>1040</v>
      </c>
      <c r="AU82">
        <v>9.9974999999999994E-2</v>
      </c>
    </row>
    <row r="83" spans="1:48" x14ac:dyDescent="0.3">
      <c r="A83" t="s">
        <v>118</v>
      </c>
      <c r="B83">
        <v>4439.999965</v>
      </c>
      <c r="C83">
        <v>6.3713000000000006E-2</v>
      </c>
      <c r="D83">
        <v>144025</v>
      </c>
      <c r="E83">
        <v>544903</v>
      </c>
      <c r="F83">
        <v>0.17299999999999999</v>
      </c>
      <c r="G83">
        <v>4.2000000000000003E-2</v>
      </c>
      <c r="H83">
        <v>60002</v>
      </c>
      <c r="I83">
        <v>0</v>
      </c>
      <c r="J83">
        <v>0</v>
      </c>
      <c r="K83">
        <v>1</v>
      </c>
      <c r="L83">
        <v>60002</v>
      </c>
      <c r="M83">
        <v>4439.999965</v>
      </c>
      <c r="N83">
        <v>435.14918499999999</v>
      </c>
      <c r="P83">
        <v>1</v>
      </c>
      <c r="R83">
        <v>64441.999969999997</v>
      </c>
      <c r="S83">
        <v>64441.999969999997</v>
      </c>
      <c r="U83">
        <v>1</v>
      </c>
      <c r="V83">
        <v>1</v>
      </c>
      <c r="W83">
        <v>1</v>
      </c>
      <c r="X83">
        <v>0</v>
      </c>
      <c r="Y83">
        <v>0</v>
      </c>
      <c r="Z83">
        <v>0</v>
      </c>
      <c r="AA83">
        <v>4.2000000000000003E-2</v>
      </c>
      <c r="AC83">
        <v>434.87047200000001</v>
      </c>
      <c r="AE83">
        <v>1</v>
      </c>
      <c r="AF83">
        <v>1705</v>
      </c>
      <c r="AH83">
        <v>24</v>
      </c>
      <c r="AJ83">
        <v>0</v>
      </c>
      <c r="AL83">
        <v>3945</v>
      </c>
      <c r="AN83">
        <v>1705</v>
      </c>
      <c r="AO83">
        <v>24</v>
      </c>
      <c r="AP83">
        <v>0</v>
      </c>
      <c r="AQ83">
        <v>3945</v>
      </c>
      <c r="AR83">
        <v>388.15300000000002</v>
      </c>
      <c r="AS83">
        <v>3946</v>
      </c>
      <c r="AU83">
        <v>9.8365999999999995E-2</v>
      </c>
    </row>
    <row r="84" spans="1:48" x14ac:dyDescent="0.3">
      <c r="A84" t="s">
        <v>119</v>
      </c>
      <c r="B84">
        <v>4373.3330969999997</v>
      </c>
      <c r="C84">
        <v>1.9786999999999999E-2</v>
      </c>
      <c r="D84">
        <v>609642</v>
      </c>
      <c r="E84">
        <v>2756700</v>
      </c>
      <c r="F84">
        <v>1.05</v>
      </c>
      <c r="G84">
        <v>0.25800000000000001</v>
      </c>
      <c r="H84">
        <v>70001</v>
      </c>
      <c r="I84">
        <v>0</v>
      </c>
      <c r="J84">
        <v>0</v>
      </c>
      <c r="K84">
        <v>1</v>
      </c>
      <c r="L84">
        <v>70001</v>
      </c>
      <c r="M84">
        <v>4373.3330969999997</v>
      </c>
      <c r="N84">
        <v>5.0079260000000003</v>
      </c>
      <c r="P84">
        <v>1</v>
      </c>
      <c r="R84">
        <v>74374.333100000003</v>
      </c>
      <c r="S84">
        <v>74374.333100000003</v>
      </c>
      <c r="U84">
        <v>1</v>
      </c>
      <c r="V84">
        <v>1</v>
      </c>
      <c r="W84">
        <v>1</v>
      </c>
      <c r="X84">
        <v>0</v>
      </c>
      <c r="Y84">
        <v>0</v>
      </c>
      <c r="Z84">
        <v>0</v>
      </c>
      <c r="AA84">
        <v>0.25800000000000001</v>
      </c>
      <c r="AC84">
        <v>3.680139</v>
      </c>
      <c r="AE84">
        <v>1</v>
      </c>
      <c r="AF84">
        <v>229</v>
      </c>
      <c r="AH84">
        <v>1</v>
      </c>
      <c r="AJ84">
        <v>0</v>
      </c>
      <c r="AL84">
        <v>2</v>
      </c>
      <c r="AN84">
        <v>229</v>
      </c>
      <c r="AO84">
        <v>1</v>
      </c>
      <c r="AP84">
        <v>0</v>
      </c>
      <c r="AQ84">
        <v>2</v>
      </c>
      <c r="AR84">
        <v>1.423</v>
      </c>
      <c r="AS84">
        <v>4</v>
      </c>
      <c r="AU84">
        <v>0.35575000000000001</v>
      </c>
    </row>
    <row r="85" spans="1:48" x14ac:dyDescent="0.3">
      <c r="A85" t="s">
        <v>120</v>
      </c>
      <c r="B85">
        <v>4849.9994459999998</v>
      </c>
      <c r="C85">
        <v>2.7594E-2</v>
      </c>
      <c r="D85">
        <v>531939</v>
      </c>
      <c r="E85">
        <v>2340926</v>
      </c>
      <c r="F85">
        <v>0.86599999999999999</v>
      </c>
      <c r="G85">
        <v>0.20200000000000001</v>
      </c>
      <c r="H85">
        <v>60003</v>
      </c>
      <c r="I85">
        <v>0</v>
      </c>
      <c r="J85">
        <v>0</v>
      </c>
      <c r="K85">
        <v>1</v>
      </c>
      <c r="L85">
        <v>60003</v>
      </c>
      <c r="M85">
        <v>4849.9994459999998</v>
      </c>
      <c r="N85">
        <v>8.4054439999999992</v>
      </c>
      <c r="P85">
        <v>1</v>
      </c>
      <c r="R85">
        <v>64852.999450000003</v>
      </c>
      <c r="S85">
        <v>64852.999450000003</v>
      </c>
      <c r="U85">
        <v>1</v>
      </c>
      <c r="V85">
        <v>1</v>
      </c>
      <c r="W85">
        <v>1</v>
      </c>
      <c r="X85">
        <v>0</v>
      </c>
      <c r="Y85">
        <v>0</v>
      </c>
      <c r="Z85">
        <v>0</v>
      </c>
      <c r="AA85">
        <v>0.20200000000000001</v>
      </c>
      <c r="AC85">
        <v>7.30985</v>
      </c>
      <c r="AE85">
        <v>1</v>
      </c>
      <c r="AF85">
        <v>678</v>
      </c>
      <c r="AH85">
        <v>1</v>
      </c>
      <c r="AJ85">
        <v>0</v>
      </c>
      <c r="AL85">
        <v>31</v>
      </c>
      <c r="AN85">
        <v>678</v>
      </c>
      <c r="AO85">
        <v>1</v>
      </c>
      <c r="AP85">
        <v>0</v>
      </c>
      <c r="AQ85">
        <v>31</v>
      </c>
      <c r="AR85">
        <v>4.7480000000000002</v>
      </c>
      <c r="AS85">
        <v>32</v>
      </c>
      <c r="AU85">
        <v>0.14837500000000001</v>
      </c>
    </row>
    <row r="86" spans="1:48" x14ac:dyDescent="0.3">
      <c r="A86" t="s">
        <v>121</v>
      </c>
      <c r="B86">
        <v>4849.9994459999998</v>
      </c>
      <c r="C86">
        <v>4.5914000000000003E-2</v>
      </c>
      <c r="D86">
        <v>459089</v>
      </c>
      <c r="E86">
        <v>1998458</v>
      </c>
      <c r="F86">
        <v>0.71399999999999997</v>
      </c>
      <c r="G86">
        <v>0.17199999999999999</v>
      </c>
      <c r="H86">
        <v>60002</v>
      </c>
      <c r="I86">
        <v>0</v>
      </c>
      <c r="J86">
        <v>0</v>
      </c>
      <c r="K86">
        <v>1</v>
      </c>
      <c r="L86">
        <v>60002</v>
      </c>
      <c r="M86">
        <v>4849.9994459999998</v>
      </c>
      <c r="N86">
        <v>11.226718999999999</v>
      </c>
      <c r="P86">
        <v>1</v>
      </c>
      <c r="R86">
        <v>64851.999450000003</v>
      </c>
      <c r="S86">
        <v>64851.999450000003</v>
      </c>
      <c r="U86">
        <v>1</v>
      </c>
      <c r="V86">
        <v>1</v>
      </c>
      <c r="W86">
        <v>1</v>
      </c>
      <c r="X86">
        <v>0</v>
      </c>
      <c r="Y86">
        <v>0</v>
      </c>
      <c r="Z86">
        <v>0</v>
      </c>
      <c r="AA86">
        <v>0.17199999999999999</v>
      </c>
      <c r="AC86">
        <v>10.294805</v>
      </c>
      <c r="AE86">
        <v>1</v>
      </c>
      <c r="AF86">
        <v>221</v>
      </c>
      <c r="AH86">
        <v>3</v>
      </c>
      <c r="AJ86">
        <v>0</v>
      </c>
      <c r="AL86">
        <v>75</v>
      </c>
      <c r="AN86">
        <v>221</v>
      </c>
      <c r="AO86">
        <v>3</v>
      </c>
      <c r="AP86">
        <v>0</v>
      </c>
      <c r="AQ86">
        <v>75</v>
      </c>
      <c r="AR86">
        <v>8.0839999999999996</v>
      </c>
      <c r="AS86">
        <v>76</v>
      </c>
      <c r="AU86">
        <v>0.106368</v>
      </c>
    </row>
    <row r="87" spans="1:48" x14ac:dyDescent="0.3">
      <c r="A87" t="s">
        <v>122</v>
      </c>
      <c r="B87">
        <v>4603.3328449999999</v>
      </c>
      <c r="C87">
        <v>2.7111E-2</v>
      </c>
      <c r="D87">
        <v>280692</v>
      </c>
      <c r="E87">
        <v>1178126</v>
      </c>
      <c r="F87">
        <v>0.40899999999999997</v>
      </c>
      <c r="G87">
        <v>9.9000000000000005E-2</v>
      </c>
      <c r="H87">
        <v>60003</v>
      </c>
      <c r="I87">
        <v>0</v>
      </c>
      <c r="J87">
        <v>0</v>
      </c>
      <c r="K87">
        <v>1</v>
      </c>
      <c r="L87">
        <v>60003</v>
      </c>
      <c r="M87">
        <v>4603.3330349999997</v>
      </c>
      <c r="N87">
        <v>22.539892000000002</v>
      </c>
      <c r="P87">
        <v>1</v>
      </c>
      <c r="R87">
        <v>64606.333039999998</v>
      </c>
      <c r="S87">
        <v>64606.332849999999</v>
      </c>
      <c r="U87">
        <v>1</v>
      </c>
      <c r="V87">
        <v>1</v>
      </c>
      <c r="W87">
        <v>1</v>
      </c>
      <c r="X87">
        <v>0</v>
      </c>
      <c r="Y87">
        <v>0</v>
      </c>
      <c r="Z87">
        <v>0</v>
      </c>
      <c r="AA87">
        <v>9.9000000000000005E-2</v>
      </c>
      <c r="AC87">
        <v>22.004781000000001</v>
      </c>
      <c r="AE87">
        <v>1</v>
      </c>
      <c r="AF87">
        <v>616</v>
      </c>
      <c r="AH87">
        <v>12</v>
      </c>
      <c r="AJ87">
        <v>0</v>
      </c>
      <c r="AL87">
        <v>150</v>
      </c>
      <c r="AN87">
        <v>616</v>
      </c>
      <c r="AO87">
        <v>12</v>
      </c>
      <c r="AP87">
        <v>0</v>
      </c>
      <c r="AQ87">
        <v>150</v>
      </c>
      <c r="AR87">
        <v>16.693999999999999</v>
      </c>
      <c r="AS87">
        <v>152</v>
      </c>
      <c r="AU87">
        <v>0.109829</v>
      </c>
    </row>
    <row r="88" spans="1:48" x14ac:dyDescent="0.3">
      <c r="A88" t="s">
        <v>123</v>
      </c>
      <c r="B88">
        <v>4423.3330669999996</v>
      </c>
      <c r="C88">
        <v>2.6213E-2</v>
      </c>
      <c r="D88">
        <v>29511</v>
      </c>
      <c r="E88">
        <v>86792</v>
      </c>
      <c r="F88">
        <v>2.4E-2</v>
      </c>
      <c r="G88">
        <v>5.0000000000000001E-3</v>
      </c>
      <c r="H88">
        <v>60002</v>
      </c>
      <c r="I88">
        <v>0</v>
      </c>
      <c r="J88">
        <v>0</v>
      </c>
      <c r="K88">
        <v>1</v>
      </c>
      <c r="L88">
        <v>60002</v>
      </c>
      <c r="M88">
        <v>4423.3330669999996</v>
      </c>
      <c r="N88">
        <v>21.318821</v>
      </c>
      <c r="P88">
        <v>1</v>
      </c>
      <c r="R88">
        <v>64425.333070000001</v>
      </c>
      <c r="S88">
        <v>64425.333070000001</v>
      </c>
      <c r="U88">
        <v>1</v>
      </c>
      <c r="V88">
        <v>1</v>
      </c>
      <c r="W88">
        <v>1</v>
      </c>
      <c r="X88">
        <v>0</v>
      </c>
      <c r="Y88">
        <v>0</v>
      </c>
      <c r="Z88">
        <v>0</v>
      </c>
      <c r="AA88">
        <v>5.0000000000000001E-3</v>
      </c>
      <c r="AC88">
        <v>21.263608000000001</v>
      </c>
      <c r="AE88">
        <v>1</v>
      </c>
      <c r="AF88">
        <v>59</v>
      </c>
      <c r="AH88">
        <v>9</v>
      </c>
      <c r="AJ88">
        <v>0</v>
      </c>
      <c r="AL88">
        <v>167</v>
      </c>
      <c r="AN88">
        <v>59</v>
      </c>
      <c r="AO88">
        <v>9</v>
      </c>
      <c r="AP88">
        <v>0</v>
      </c>
      <c r="AQ88">
        <v>167</v>
      </c>
      <c r="AR88">
        <v>18.059999999999999</v>
      </c>
      <c r="AS88">
        <v>168</v>
      </c>
      <c r="AU88">
        <v>0.1075</v>
      </c>
    </row>
    <row r="89" spans="1:48" x14ac:dyDescent="0.3">
      <c r="A89" t="s">
        <v>124</v>
      </c>
      <c r="B89">
        <v>4609.9999550000002</v>
      </c>
      <c r="C89">
        <v>1.9771E-2</v>
      </c>
      <c r="D89">
        <v>196443</v>
      </c>
      <c r="E89">
        <v>760197</v>
      </c>
      <c r="F89">
        <v>0.249</v>
      </c>
      <c r="G89">
        <v>0.115</v>
      </c>
      <c r="H89">
        <v>60001</v>
      </c>
      <c r="I89">
        <v>0</v>
      </c>
      <c r="J89">
        <v>0</v>
      </c>
      <c r="K89">
        <v>1</v>
      </c>
      <c r="L89">
        <v>60001</v>
      </c>
      <c r="M89">
        <v>4609.9999239999997</v>
      </c>
      <c r="N89">
        <v>28.485852999999999</v>
      </c>
      <c r="P89">
        <v>1</v>
      </c>
      <c r="R89">
        <v>64610.999920000002</v>
      </c>
      <c r="S89">
        <v>64610.999960000001</v>
      </c>
      <c r="U89">
        <v>1</v>
      </c>
      <c r="V89">
        <v>1</v>
      </c>
      <c r="W89">
        <v>1</v>
      </c>
      <c r="X89">
        <v>0</v>
      </c>
      <c r="Y89">
        <v>0</v>
      </c>
      <c r="Z89">
        <v>0</v>
      </c>
      <c r="AA89">
        <v>0.115</v>
      </c>
      <c r="AC89">
        <v>28.102081999999999</v>
      </c>
      <c r="AE89">
        <v>1</v>
      </c>
      <c r="AF89">
        <v>991</v>
      </c>
      <c r="AH89">
        <v>16</v>
      </c>
      <c r="AJ89">
        <v>0</v>
      </c>
      <c r="AL89">
        <v>192</v>
      </c>
      <c r="AN89">
        <v>991</v>
      </c>
      <c r="AO89">
        <v>16</v>
      </c>
      <c r="AP89">
        <v>0</v>
      </c>
      <c r="AQ89">
        <v>192</v>
      </c>
      <c r="AR89">
        <v>22.158000000000001</v>
      </c>
      <c r="AS89">
        <v>193</v>
      </c>
      <c r="AU89">
        <v>0.11480799999999999</v>
      </c>
    </row>
    <row r="90" spans="1:48" x14ac:dyDescent="0.3">
      <c r="A90" t="s">
        <v>125</v>
      </c>
      <c r="B90">
        <v>4603.3325580000001</v>
      </c>
      <c r="C90">
        <v>2.3444E-2</v>
      </c>
      <c r="D90">
        <v>230623</v>
      </c>
      <c r="E90">
        <v>949993</v>
      </c>
      <c r="F90">
        <v>0.34300000000000003</v>
      </c>
      <c r="G90">
        <v>0.21</v>
      </c>
      <c r="H90">
        <v>60003</v>
      </c>
      <c r="I90">
        <v>0</v>
      </c>
      <c r="J90">
        <v>0</v>
      </c>
      <c r="K90">
        <v>1</v>
      </c>
      <c r="L90">
        <v>60003</v>
      </c>
      <c r="M90">
        <v>4603.3325580000001</v>
      </c>
      <c r="N90">
        <v>329.119462</v>
      </c>
      <c r="P90">
        <v>1</v>
      </c>
      <c r="R90">
        <v>64606.332560000003</v>
      </c>
      <c r="S90">
        <v>64606.332560000003</v>
      </c>
      <c r="U90">
        <v>1</v>
      </c>
      <c r="V90">
        <v>1</v>
      </c>
      <c r="W90">
        <v>1</v>
      </c>
      <c r="X90">
        <v>0</v>
      </c>
      <c r="Y90">
        <v>0</v>
      </c>
      <c r="Z90">
        <v>0</v>
      </c>
      <c r="AA90">
        <v>0.21</v>
      </c>
      <c r="AC90">
        <v>328.54301800000002</v>
      </c>
      <c r="AE90">
        <v>1</v>
      </c>
      <c r="AF90">
        <v>1748</v>
      </c>
      <c r="AH90">
        <v>24</v>
      </c>
      <c r="AJ90">
        <v>0</v>
      </c>
      <c r="AL90">
        <v>2642</v>
      </c>
      <c r="AN90">
        <v>1748</v>
      </c>
      <c r="AO90">
        <v>24</v>
      </c>
      <c r="AP90">
        <v>0</v>
      </c>
      <c r="AQ90">
        <v>2642</v>
      </c>
      <c r="AR90">
        <v>269.41399999999999</v>
      </c>
      <c r="AS90">
        <v>2644</v>
      </c>
      <c r="AU90">
        <v>0.101896</v>
      </c>
    </row>
    <row r="91" spans="1:48" s="1" customFormat="1" x14ac:dyDescent="0.3">
      <c r="A91" s="1" t="s">
        <v>126</v>
      </c>
      <c r="B91" s="1">
        <v>4949.999452</v>
      </c>
      <c r="C91" s="1">
        <v>2.6061999999999998E-2</v>
      </c>
      <c r="D91" s="1">
        <v>236072</v>
      </c>
      <c r="E91" s="1">
        <v>926839</v>
      </c>
      <c r="F91" s="1">
        <v>0.31</v>
      </c>
      <c r="G91" s="1">
        <v>8.3000000000000004E-2</v>
      </c>
      <c r="H91" s="1">
        <v>60002</v>
      </c>
      <c r="I91" s="1">
        <v>0</v>
      </c>
      <c r="J91" s="1">
        <v>0</v>
      </c>
      <c r="K91" s="1">
        <v>1</v>
      </c>
      <c r="L91" s="1">
        <v>60002</v>
      </c>
      <c r="M91" s="1">
        <v>4949.9994049999996</v>
      </c>
      <c r="N91" s="1">
        <v>156.08605800000001</v>
      </c>
      <c r="P91" s="1">
        <v>1</v>
      </c>
      <c r="R91" s="1">
        <v>64951.999409999997</v>
      </c>
      <c r="S91" s="1">
        <v>64951.999450000003</v>
      </c>
      <c r="U91" s="1">
        <v>1</v>
      </c>
      <c r="V91" s="1">
        <v>1</v>
      </c>
      <c r="W91" s="1">
        <v>1</v>
      </c>
      <c r="X91" s="1">
        <v>0</v>
      </c>
      <c r="Y91" s="1">
        <v>0</v>
      </c>
      <c r="Z91" s="1">
        <v>0</v>
      </c>
      <c r="AA91" s="1">
        <v>8.3000000000000004E-2</v>
      </c>
      <c r="AC91" s="1">
        <v>155.66699600000001</v>
      </c>
      <c r="AE91" s="1">
        <v>1</v>
      </c>
      <c r="AF91" s="1">
        <v>834</v>
      </c>
      <c r="AH91" s="1">
        <v>21</v>
      </c>
      <c r="AJ91" s="1">
        <v>0</v>
      </c>
      <c r="AL91" s="1">
        <v>1221</v>
      </c>
      <c r="AN91" s="1">
        <v>834</v>
      </c>
      <c r="AO91" s="1">
        <v>21</v>
      </c>
      <c r="AP91" s="1">
        <v>0</v>
      </c>
      <c r="AQ91" s="1">
        <v>1221</v>
      </c>
      <c r="AR91" s="1">
        <v>124.407</v>
      </c>
      <c r="AS91" s="1">
        <v>1222</v>
      </c>
      <c r="AU91" s="1">
        <v>0.10180599999999999</v>
      </c>
    </row>
    <row r="92" spans="1:48" x14ac:dyDescent="0.3">
      <c r="A92" t="s">
        <v>128</v>
      </c>
      <c r="B92">
        <v>6539.9992110000003</v>
      </c>
      <c r="C92">
        <v>3.5299999999999998E-2</v>
      </c>
      <c r="D92">
        <v>4608888</v>
      </c>
      <c r="E92">
        <v>23056180</v>
      </c>
      <c r="F92">
        <v>10.228999999999999</v>
      </c>
      <c r="G92">
        <v>2.3439999999999999</v>
      </c>
      <c r="H92">
        <v>20003</v>
      </c>
      <c r="I92">
        <v>1</v>
      </c>
      <c r="J92">
        <v>0</v>
      </c>
      <c r="K92">
        <v>1</v>
      </c>
      <c r="L92">
        <v>20003</v>
      </c>
      <c r="M92">
        <v>6539.9991389999996</v>
      </c>
      <c r="N92">
        <v>18.434373999999998</v>
      </c>
      <c r="O92">
        <v>1118.0771729999999</v>
      </c>
      <c r="P92">
        <v>1</v>
      </c>
      <c r="Q92">
        <f>AVERAGE(P92:P96)</f>
        <v>1</v>
      </c>
      <c r="R92">
        <v>26542.999139</v>
      </c>
      <c r="S92">
        <v>26542.999210999998</v>
      </c>
      <c r="T92">
        <f>SUM(U92:U96)</f>
        <v>5</v>
      </c>
      <c r="U92">
        <v>1</v>
      </c>
      <c r="V92">
        <v>1</v>
      </c>
      <c r="W92">
        <v>1</v>
      </c>
      <c r="X92">
        <v>0</v>
      </c>
      <c r="Y92">
        <v>0</v>
      </c>
      <c r="Z92">
        <v>0</v>
      </c>
      <c r="AA92">
        <v>2.3439999999999999</v>
      </c>
      <c r="AB92">
        <v>1.3215999999999999</v>
      </c>
      <c r="AC92">
        <v>5.8260740000000002</v>
      </c>
      <c r="AD92">
        <v>1110.6356489999998</v>
      </c>
      <c r="AE92">
        <v>1</v>
      </c>
      <c r="AF92">
        <v>0</v>
      </c>
      <c r="AG92">
        <f>AVERAGE(AF92:AF96)</f>
        <v>1660.2</v>
      </c>
      <c r="AH92">
        <v>0</v>
      </c>
      <c r="AI92">
        <f>AVERAGE(AH92:AH96)</f>
        <v>10.6</v>
      </c>
      <c r="AJ92">
        <v>0</v>
      </c>
      <c r="AK92">
        <f>AVERAGE(AJ92:AJ96)</f>
        <v>0</v>
      </c>
      <c r="AL92">
        <v>1</v>
      </c>
      <c r="AM92">
        <v>2121.6</v>
      </c>
      <c r="AN92">
        <v>0</v>
      </c>
      <c r="AO92">
        <v>0</v>
      </c>
      <c r="AP92">
        <v>0</v>
      </c>
      <c r="AQ92">
        <v>1</v>
      </c>
      <c r="AR92">
        <v>0.93899999999999995</v>
      </c>
      <c r="AS92">
        <v>2</v>
      </c>
      <c r="AT92">
        <f>AVERAGE(AS92:AS96)</f>
        <v>2122.6</v>
      </c>
      <c r="AU92">
        <v>0.46949999999999997</v>
      </c>
      <c r="AV92">
        <f>AVERAGE(AU92:AU96)</f>
        <v>0.47150100000000006</v>
      </c>
    </row>
    <row r="93" spans="1:48" x14ac:dyDescent="0.3">
      <c r="A93" t="s">
        <v>129</v>
      </c>
      <c r="B93">
        <v>6090.0001590000002</v>
      </c>
      <c r="C93">
        <v>4.1769000000000001E-2</v>
      </c>
      <c r="D93">
        <v>4780748</v>
      </c>
      <c r="E93">
        <v>23957516</v>
      </c>
      <c r="F93">
        <v>10.961</v>
      </c>
      <c r="G93">
        <v>2.218</v>
      </c>
      <c r="H93">
        <v>20003</v>
      </c>
      <c r="I93">
        <v>1</v>
      </c>
      <c r="J93">
        <v>0</v>
      </c>
      <c r="K93">
        <v>1</v>
      </c>
      <c r="L93">
        <v>20003</v>
      </c>
      <c r="M93">
        <v>6090.0001339999999</v>
      </c>
      <c r="N93">
        <v>480.60632800000002</v>
      </c>
      <c r="P93">
        <v>1</v>
      </c>
      <c r="R93">
        <v>26093.000134000002</v>
      </c>
      <c r="S93">
        <v>26093.000158999999</v>
      </c>
      <c r="U93">
        <v>1</v>
      </c>
      <c r="V93">
        <v>1</v>
      </c>
      <c r="W93">
        <v>1</v>
      </c>
      <c r="X93">
        <v>0</v>
      </c>
      <c r="Y93">
        <v>0</v>
      </c>
      <c r="Z93">
        <v>0</v>
      </c>
      <c r="AA93">
        <v>2.218</v>
      </c>
      <c r="AC93">
        <v>467.385559</v>
      </c>
      <c r="AE93">
        <v>1</v>
      </c>
      <c r="AF93">
        <v>6115</v>
      </c>
      <c r="AH93">
        <v>13</v>
      </c>
      <c r="AJ93">
        <v>0</v>
      </c>
      <c r="AL93">
        <v>827</v>
      </c>
      <c r="AN93">
        <v>6115</v>
      </c>
      <c r="AO93">
        <v>13</v>
      </c>
      <c r="AP93">
        <v>0</v>
      </c>
      <c r="AQ93">
        <v>827</v>
      </c>
      <c r="AR93">
        <v>388.44099999999997</v>
      </c>
      <c r="AS93">
        <v>828</v>
      </c>
      <c r="AU93">
        <v>0.46913199999999999</v>
      </c>
    </row>
    <row r="94" spans="1:48" x14ac:dyDescent="0.3">
      <c r="A94" t="s">
        <v>130</v>
      </c>
      <c r="B94">
        <v>6559.99946</v>
      </c>
      <c r="C94">
        <v>7.6428999999999997E-2</v>
      </c>
      <c r="D94">
        <v>765668</v>
      </c>
      <c r="E94">
        <v>3189615</v>
      </c>
      <c r="F94">
        <v>1.169</v>
      </c>
      <c r="G94">
        <v>0.27700000000000002</v>
      </c>
      <c r="H94">
        <v>30002</v>
      </c>
      <c r="I94">
        <v>1</v>
      </c>
      <c r="J94">
        <v>0</v>
      </c>
      <c r="K94">
        <v>1</v>
      </c>
      <c r="L94">
        <v>30002</v>
      </c>
      <c r="M94">
        <v>6559.99946</v>
      </c>
      <c r="N94">
        <v>935.54418299999998</v>
      </c>
      <c r="P94">
        <v>1</v>
      </c>
      <c r="R94">
        <v>36561.999459999999</v>
      </c>
      <c r="S94">
        <v>36561.999459999999</v>
      </c>
      <c r="U94">
        <v>1</v>
      </c>
      <c r="V94">
        <v>1</v>
      </c>
      <c r="W94">
        <v>1</v>
      </c>
      <c r="X94">
        <v>0</v>
      </c>
      <c r="Y94">
        <v>0</v>
      </c>
      <c r="Z94">
        <v>0</v>
      </c>
      <c r="AA94">
        <v>0.27700000000000002</v>
      </c>
      <c r="AC94">
        <v>934.02175399999999</v>
      </c>
      <c r="AE94">
        <v>1</v>
      </c>
      <c r="AF94">
        <v>1558</v>
      </c>
      <c r="AH94">
        <v>11</v>
      </c>
      <c r="AJ94">
        <v>0</v>
      </c>
      <c r="AL94">
        <v>1759</v>
      </c>
      <c r="AN94">
        <v>1558</v>
      </c>
      <c r="AO94">
        <v>11</v>
      </c>
      <c r="AP94">
        <v>0</v>
      </c>
      <c r="AQ94">
        <v>1759</v>
      </c>
      <c r="AR94">
        <v>829.19299999999998</v>
      </c>
      <c r="AS94">
        <v>1760</v>
      </c>
      <c r="AU94">
        <v>0.471132</v>
      </c>
    </row>
    <row r="95" spans="1:48" x14ac:dyDescent="0.3">
      <c r="A95" t="s">
        <v>131</v>
      </c>
      <c r="B95">
        <v>5999.9993919999997</v>
      </c>
      <c r="C95">
        <v>3.5664000000000001E-2</v>
      </c>
      <c r="D95">
        <v>3068171</v>
      </c>
      <c r="E95">
        <v>14923224</v>
      </c>
      <c r="F95">
        <v>6.4429999999999996</v>
      </c>
      <c r="G95">
        <v>1.3109999999999999</v>
      </c>
      <c r="H95">
        <v>40002</v>
      </c>
      <c r="I95">
        <v>1</v>
      </c>
      <c r="J95">
        <v>0</v>
      </c>
      <c r="K95">
        <v>1</v>
      </c>
      <c r="L95">
        <v>40002</v>
      </c>
      <c r="M95">
        <v>5999.9992460000003</v>
      </c>
      <c r="N95">
        <v>1818.7622649999998</v>
      </c>
      <c r="P95">
        <v>1</v>
      </c>
      <c r="R95">
        <v>46001.999245999999</v>
      </c>
      <c r="S95">
        <v>46001.999391999998</v>
      </c>
      <c r="U95">
        <v>1</v>
      </c>
      <c r="V95">
        <v>1</v>
      </c>
      <c r="W95">
        <v>1</v>
      </c>
      <c r="X95">
        <v>0</v>
      </c>
      <c r="Y95">
        <v>0</v>
      </c>
      <c r="Z95">
        <v>0</v>
      </c>
      <c r="AA95">
        <v>1.3109999999999999</v>
      </c>
      <c r="AC95">
        <v>1810.9726009999999</v>
      </c>
      <c r="AE95">
        <v>1</v>
      </c>
      <c r="AF95">
        <v>230</v>
      </c>
      <c r="AH95">
        <v>9</v>
      </c>
      <c r="AJ95">
        <v>0</v>
      </c>
      <c r="AL95">
        <v>3593</v>
      </c>
      <c r="AN95">
        <v>230</v>
      </c>
      <c r="AO95">
        <v>9</v>
      </c>
      <c r="AP95">
        <v>0</v>
      </c>
      <c r="AQ95">
        <v>3593</v>
      </c>
      <c r="AR95">
        <v>1676.7819999999999</v>
      </c>
      <c r="AS95">
        <v>3594</v>
      </c>
      <c r="AU95">
        <v>0.46655000000000002</v>
      </c>
    </row>
    <row r="96" spans="1:48" s="1" customFormat="1" x14ac:dyDescent="0.3">
      <c r="A96" s="1" t="s">
        <v>132</v>
      </c>
      <c r="B96" s="1">
        <v>6079.99953</v>
      </c>
      <c r="C96" s="1">
        <v>5.0458000000000003E-2</v>
      </c>
      <c r="D96" s="1">
        <v>967321</v>
      </c>
      <c r="E96" s="1">
        <v>4075893</v>
      </c>
      <c r="F96" s="1">
        <v>1.5580000000000001</v>
      </c>
      <c r="G96" s="1">
        <v>0.45800000000000002</v>
      </c>
      <c r="H96" s="1">
        <v>30002</v>
      </c>
      <c r="I96" s="1">
        <v>1</v>
      </c>
      <c r="J96" s="1">
        <v>0</v>
      </c>
      <c r="K96" s="1">
        <v>1</v>
      </c>
      <c r="L96" s="1">
        <v>30002</v>
      </c>
      <c r="M96" s="1">
        <v>6079.9995120000003</v>
      </c>
      <c r="N96" s="1">
        <v>2337.0387149999997</v>
      </c>
      <c r="P96" s="1">
        <v>1</v>
      </c>
      <c r="R96" s="1">
        <v>36081.999512000002</v>
      </c>
      <c r="S96" s="1">
        <v>36081.999530000001</v>
      </c>
      <c r="U96" s="1">
        <v>1</v>
      </c>
      <c r="V96" s="1">
        <v>1</v>
      </c>
      <c r="W96" s="1">
        <v>1</v>
      </c>
      <c r="X96" s="1">
        <v>0</v>
      </c>
      <c r="Y96" s="1">
        <v>0</v>
      </c>
      <c r="Z96" s="1">
        <v>0</v>
      </c>
      <c r="AA96" s="1">
        <v>0.45800000000000002</v>
      </c>
      <c r="AC96" s="1">
        <v>2334.9722569999999</v>
      </c>
      <c r="AE96" s="1">
        <v>1</v>
      </c>
      <c r="AF96" s="1">
        <v>398</v>
      </c>
      <c r="AH96" s="1">
        <v>20</v>
      </c>
      <c r="AJ96" s="1">
        <v>0</v>
      </c>
      <c r="AL96" s="1">
        <v>4428</v>
      </c>
      <c r="AN96" s="1">
        <v>398</v>
      </c>
      <c r="AO96" s="1">
        <v>20</v>
      </c>
      <c r="AP96" s="1">
        <v>0</v>
      </c>
      <c r="AQ96" s="1">
        <v>4428</v>
      </c>
      <c r="AR96" s="1">
        <v>2131.1950000000002</v>
      </c>
      <c r="AS96" s="1">
        <v>4429</v>
      </c>
      <c r="AU96" s="1">
        <v>0.48119099999999998</v>
      </c>
    </row>
    <row r="97" spans="1:48" x14ac:dyDescent="0.3">
      <c r="A97" t="s">
        <v>127</v>
      </c>
      <c r="B97">
        <v>7709.9989800000003</v>
      </c>
      <c r="C97">
        <v>4.2722999999999997E-2</v>
      </c>
      <c r="D97">
        <v>10869503</v>
      </c>
      <c r="E97">
        <v>55392140</v>
      </c>
      <c r="F97">
        <v>26.145</v>
      </c>
      <c r="G97">
        <v>5.5629999999999997</v>
      </c>
      <c r="H97">
        <v>30003</v>
      </c>
      <c r="I97">
        <v>1</v>
      </c>
      <c r="J97">
        <v>0</v>
      </c>
      <c r="K97">
        <v>1</v>
      </c>
      <c r="L97">
        <v>30003</v>
      </c>
      <c r="M97">
        <v>7709.9989800000003</v>
      </c>
      <c r="N97">
        <v>1455.9308210000002</v>
      </c>
      <c r="O97">
        <v>1455.9308210000002</v>
      </c>
      <c r="P97">
        <v>1</v>
      </c>
      <c r="Q97">
        <f>AVERAGE(P97)</f>
        <v>1</v>
      </c>
      <c r="R97">
        <v>37712.998979999997</v>
      </c>
      <c r="S97">
        <v>37712.998979999997</v>
      </c>
      <c r="T97">
        <v>1</v>
      </c>
      <c r="U97">
        <v>1</v>
      </c>
      <c r="V97">
        <v>1</v>
      </c>
      <c r="W97">
        <v>1</v>
      </c>
      <c r="X97">
        <v>0</v>
      </c>
      <c r="Y97">
        <v>0</v>
      </c>
      <c r="Z97">
        <v>0</v>
      </c>
      <c r="AA97">
        <v>5.5629999999999997</v>
      </c>
      <c r="AB97">
        <v>5.5629999999999997</v>
      </c>
      <c r="AC97">
        <v>1424.180098</v>
      </c>
      <c r="AD97">
        <v>1424.180098</v>
      </c>
      <c r="AE97">
        <v>1</v>
      </c>
      <c r="AF97">
        <v>167</v>
      </c>
      <c r="AG97">
        <f>AVERAGE(AF97)</f>
        <v>167</v>
      </c>
      <c r="AH97">
        <v>3</v>
      </c>
      <c r="AI97">
        <f>AVERAGE(AH97)</f>
        <v>3</v>
      </c>
      <c r="AJ97">
        <v>0</v>
      </c>
      <c r="AK97">
        <f>AVERAGE(AJ97)</f>
        <v>0</v>
      </c>
      <c r="AL97">
        <v>1222</v>
      </c>
      <c r="AM97">
        <v>1222</v>
      </c>
      <c r="AN97">
        <v>167</v>
      </c>
      <c r="AO97">
        <v>3</v>
      </c>
      <c r="AP97">
        <v>0</v>
      </c>
      <c r="AQ97">
        <v>1222</v>
      </c>
      <c r="AR97">
        <v>1307.191</v>
      </c>
      <c r="AS97">
        <v>1223</v>
      </c>
      <c r="AT97">
        <f>AVERAGE(AS97)</f>
        <v>1223</v>
      </c>
      <c r="AU97">
        <v>1.06884</v>
      </c>
      <c r="AV97">
        <f>AVERAGE(AU97)</f>
        <v>1.06884</v>
      </c>
    </row>
  </sheetData>
  <autoFilter ref="U1:U227" xr:uid="{00000000-0001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78F1-4C26-4820-A228-6F175B58FA55}">
  <dimension ref="A1:G6"/>
  <sheetViews>
    <sheetView tabSelected="1" workbookViewId="0">
      <selection sqref="A1:G1048576"/>
    </sheetView>
  </sheetViews>
  <sheetFormatPr defaultRowHeight="14" x14ac:dyDescent="0.3"/>
  <cols>
    <col min="1" max="7" width="8.6640625" style="2"/>
  </cols>
  <sheetData>
    <row r="1" spans="1:6" x14ac:dyDescent="0.3">
      <c r="A1" s="2" t="s">
        <v>144</v>
      </c>
      <c r="B1" s="2" t="s">
        <v>139</v>
      </c>
      <c r="C1" s="2" t="s">
        <v>141</v>
      </c>
      <c r="D1" s="2" t="s">
        <v>142</v>
      </c>
      <c r="E1" s="2" t="s">
        <v>143</v>
      </c>
      <c r="F1" s="2" t="s">
        <v>140</v>
      </c>
    </row>
    <row r="2" spans="1:6" x14ac:dyDescent="0.3">
      <c r="A2" s="2">
        <v>10</v>
      </c>
      <c r="B2" s="2">
        <v>30</v>
      </c>
      <c r="C2" s="2">
        <v>3.3333333333333335E-5</v>
      </c>
      <c r="D2" s="2">
        <v>0.11706069999999999</v>
      </c>
      <c r="E2" s="2">
        <v>3.9666666666666668</v>
      </c>
      <c r="F2" s="2">
        <v>0.1312537</v>
      </c>
    </row>
    <row r="3" spans="1:6" x14ac:dyDescent="0.3">
      <c r="A3" s="2">
        <v>20</v>
      </c>
      <c r="B3" s="2">
        <v>30</v>
      </c>
      <c r="C3" s="2">
        <v>7.4000000000000012E-3</v>
      </c>
      <c r="D3" s="2">
        <v>3.2449393999999994</v>
      </c>
      <c r="E3" s="2">
        <v>66.099999999999994</v>
      </c>
      <c r="F3" s="2">
        <v>3.3037122333333335</v>
      </c>
    </row>
    <row r="4" spans="1:6" x14ac:dyDescent="0.3">
      <c r="A4" s="2">
        <v>30</v>
      </c>
      <c r="B4" s="2">
        <v>30</v>
      </c>
      <c r="C4" s="2">
        <v>0.1489</v>
      </c>
      <c r="D4" s="2">
        <v>70.302420133333356</v>
      </c>
      <c r="E4" s="2">
        <v>555.70000000000005</v>
      </c>
      <c r="F4" s="2">
        <v>71.068820233333327</v>
      </c>
    </row>
    <row r="5" spans="1:6" x14ac:dyDescent="0.3">
      <c r="A5" s="2">
        <v>40</v>
      </c>
      <c r="B5" s="2">
        <v>5</v>
      </c>
      <c r="C5" s="2">
        <v>1.3215999999999999</v>
      </c>
      <c r="D5" s="2">
        <v>1110.6356489999998</v>
      </c>
      <c r="E5" s="2">
        <v>2121.6</v>
      </c>
      <c r="F5" s="2">
        <v>1118.0771729999999</v>
      </c>
    </row>
    <row r="6" spans="1:6" x14ac:dyDescent="0.3">
      <c r="A6" s="2">
        <v>50</v>
      </c>
      <c r="B6" s="2">
        <v>1</v>
      </c>
      <c r="C6" s="2">
        <v>5.5629999999999997</v>
      </c>
      <c r="D6" s="2">
        <v>1424.180098</v>
      </c>
      <c r="E6" s="2">
        <v>1222</v>
      </c>
      <c r="F6" s="2">
        <v>1455.9308210000002</v>
      </c>
    </row>
  </sheetData>
  <autoFilter ref="B1:B6" xr:uid="{152E78F1-4C26-4820-A228-6F175B58FA55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1100010-Com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2023-12-18T09:37:17Z</dcterms:created>
  <dcterms:modified xsi:type="dcterms:W3CDTF">2024-07-31T15:36:23Z</dcterms:modified>
</cp:coreProperties>
</file>