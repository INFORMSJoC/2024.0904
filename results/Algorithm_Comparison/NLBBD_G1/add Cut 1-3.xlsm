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/>
  <workbookPr defaultThemeVersion="166925"/>
  <mc:AlternateContent xmlns:mc="http://schemas.openxmlformats.org/markup-compatibility/2006">
    <mc:Choice Requires="x15">
      <x15ac:absPath xmlns:x15ac="http://schemas.microsoft.com/office/spreadsheetml/2010/11/ac" url="C:\GXYCreate\Work1\初稿\Instances and Results - Upload\Results\Algorithm_Comparison\NLBBD_G1\"/>
    </mc:Choice>
  </mc:AlternateContent>
  <xr:revisionPtr revIDLastSave="0" documentId="13_ncr:1_{444BD86C-6A15-4538-8598-BB1717BBAEF4}" xr6:coauthVersionLast="47" xr6:coauthVersionMax="47" xr10:uidLastSave="{00000000-0000-0000-0000-000000000000}"/>
  <bookViews>
    <workbookView xWindow="-110" yWindow="-110" windowWidth="25820" windowHeight="13900" activeTab="1" xr2:uid="{00000000-000D-0000-FFFF-FFFF00000000}"/>
  </bookViews>
  <sheets>
    <sheet name="1010010-Com" sheetId="1" r:id="rId1"/>
    <sheet name="Summary" sheetId="3" r:id="rId2"/>
  </sheets>
  <definedNames>
    <definedName name="_xlnm._FilterDatabase" localSheetId="0" hidden="1">'1010010-Com'!$A$1:$Z$159</definedName>
    <definedName name="_xlnm._FilterDatabase" localSheetId="1" hidden="1">Summary!$B$1:$B$7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D149" i="1" l="1"/>
  <c r="AD122" i="1"/>
  <c r="AD92" i="1"/>
  <c r="AD62" i="1"/>
  <c r="AD32" i="1"/>
  <c r="AD2" i="1"/>
  <c r="AB149" i="1"/>
  <c r="AB122" i="1"/>
  <c r="AB92" i="1"/>
  <c r="AB62" i="1"/>
  <c r="AB32" i="1"/>
  <c r="AB2" i="1"/>
  <c r="AM149" i="1"/>
  <c r="AM122" i="1"/>
  <c r="AM92" i="1"/>
  <c r="AM62" i="1"/>
  <c r="AM32" i="1"/>
  <c r="AM2" i="1"/>
  <c r="AV149" i="1"/>
  <c r="AT149" i="1"/>
  <c r="AK149" i="1"/>
  <c r="AI149" i="1"/>
  <c r="AG149" i="1"/>
  <c r="AV122" i="1"/>
  <c r="AT122" i="1"/>
  <c r="AK122" i="1"/>
  <c r="AI122" i="1"/>
  <c r="AG122" i="1"/>
  <c r="AV92" i="1"/>
  <c r="AT92" i="1"/>
  <c r="AK92" i="1"/>
  <c r="AI92" i="1"/>
  <c r="AG92" i="1"/>
  <c r="AV62" i="1"/>
  <c r="AT62" i="1"/>
  <c r="AK62" i="1"/>
  <c r="AI62" i="1"/>
  <c r="AG62" i="1"/>
  <c r="AV32" i="1"/>
  <c r="AT32" i="1"/>
  <c r="AK32" i="1"/>
  <c r="AI32" i="1"/>
  <c r="AG32" i="1"/>
  <c r="AV2" i="1"/>
  <c r="AT2" i="1"/>
  <c r="AK2" i="1"/>
  <c r="AI2" i="1"/>
  <c r="AG2" i="1"/>
  <c r="T149" i="1"/>
  <c r="Q149" i="1"/>
  <c r="T122" i="1"/>
  <c r="Q122" i="1"/>
  <c r="T92" i="1"/>
  <c r="Q92" i="1"/>
  <c r="T62" i="1"/>
  <c r="Q62" i="1"/>
  <c r="T32" i="1"/>
  <c r="Q32" i="1"/>
  <c r="T2" i="1"/>
  <c r="Q2" i="1"/>
</calcChain>
</file>

<file path=xl/sharedStrings.xml><?xml version="1.0" encoding="utf-8"?>
<sst xmlns="http://schemas.openxmlformats.org/spreadsheetml/2006/main" count="211" uniqueCount="210">
  <si>
    <t>Ins</t>
  </si>
  <si>
    <t>LB.2nd.Stage</t>
  </si>
  <si>
    <t>Time.LB</t>
  </si>
  <si>
    <t>Num.Nodes</t>
  </si>
  <si>
    <t>Num.Arcs</t>
  </si>
  <si>
    <t>Time.Build.G1</t>
  </si>
  <si>
    <t>Time.Find.SP</t>
  </si>
  <si>
    <t>ShortestPath.Cost</t>
  </si>
  <si>
    <t>Solve optimally by Heu</t>
  </si>
  <si>
    <t>Kahn_Heu is feasible</t>
  </si>
  <si>
    <t>Kahn_SP2 is feasible</t>
  </si>
  <si>
    <t>Obj.MP</t>
  </si>
  <si>
    <t>Obj.SP</t>
  </si>
  <si>
    <t>Total.Time</t>
  </si>
  <si>
    <t>Num.LBBD.Iters</t>
  </si>
  <si>
    <t>UB</t>
  </si>
  <si>
    <t>currentLB</t>
  </si>
  <si>
    <t>OP.Status</t>
  </si>
  <si>
    <t>MP.Status</t>
  </si>
  <si>
    <t>SP.Status</t>
  </si>
  <si>
    <t>Gap</t>
  </si>
  <si>
    <t>MP.gap</t>
  </si>
  <si>
    <t>SP.gap</t>
  </si>
  <si>
    <t>Total.Time.MP</t>
  </si>
  <si>
    <t>Total.Time.SP</t>
  </si>
  <si>
    <t>Num.SP-1.Solved</t>
  </si>
  <si>
    <t>Num.Lazy1</t>
  </si>
  <si>
    <t>Num.Lazy2</t>
  </si>
  <si>
    <t>Num.Lazy3</t>
  </si>
  <si>
    <t>Num.SP-Nogood.Cuts</t>
  </si>
  <si>
    <t>Avg.Num.Lazy1</t>
  </si>
  <si>
    <t>Avg.Num.Lazy2</t>
  </si>
  <si>
    <t>Avg.Num.Lazy3</t>
  </si>
  <si>
    <t>Avg.Num.SP-No.Cuts</t>
  </si>
  <si>
    <t>Time.Solve.SP2-S2</t>
  </si>
  <si>
    <t>Num.SP-S2.Solved</t>
  </si>
  <si>
    <t>Avg.Time.Solve.SP-S2</t>
  </si>
  <si>
    <t>10_2</t>
  </si>
  <si>
    <t>10_4</t>
  </si>
  <si>
    <t>10_3</t>
  </si>
  <si>
    <t>10_1</t>
  </si>
  <si>
    <t>10_14</t>
  </si>
  <si>
    <t>10_9</t>
  </si>
  <si>
    <t>10_12</t>
  </si>
  <si>
    <t>10_7</t>
  </si>
  <si>
    <t>10_6</t>
  </si>
  <si>
    <t>10_8</t>
  </si>
  <si>
    <t>10_10</t>
  </si>
  <si>
    <t>10_5</t>
  </si>
  <si>
    <t>10_13</t>
  </si>
  <si>
    <t>10_11</t>
  </si>
  <si>
    <t>10_18</t>
  </si>
  <si>
    <t>10_17</t>
  </si>
  <si>
    <t>10_22</t>
  </si>
  <si>
    <t>10_24</t>
  </si>
  <si>
    <t>10_23</t>
  </si>
  <si>
    <t>10_20</t>
  </si>
  <si>
    <t>10_15</t>
  </si>
  <si>
    <t>10_25</t>
  </si>
  <si>
    <t>10_21</t>
  </si>
  <si>
    <t>10_19</t>
  </si>
  <si>
    <t>10_16</t>
  </si>
  <si>
    <t>10_28</t>
  </si>
  <si>
    <t>10_27</t>
  </si>
  <si>
    <t>10_30</t>
  </si>
  <si>
    <t>10_29</t>
  </si>
  <si>
    <t>10_26</t>
  </si>
  <si>
    <t>20_2</t>
  </si>
  <si>
    <t>20_4</t>
  </si>
  <si>
    <t>20_1</t>
  </si>
  <si>
    <t>20_3</t>
  </si>
  <si>
    <t>20_12</t>
  </si>
  <si>
    <t>20_8</t>
  </si>
  <si>
    <t>20_5</t>
  </si>
  <si>
    <t>20_13</t>
  </si>
  <si>
    <t>20_10</t>
  </si>
  <si>
    <t>20_6</t>
  </si>
  <si>
    <t>20_9</t>
  </si>
  <si>
    <t>20_11</t>
  </si>
  <si>
    <t>20_14</t>
  </si>
  <si>
    <t>20_7</t>
  </si>
  <si>
    <t>20_17</t>
  </si>
  <si>
    <t>20_15</t>
  </si>
  <si>
    <t>20_19</t>
  </si>
  <si>
    <t>20_18</t>
  </si>
  <si>
    <t>20_20</t>
  </si>
  <si>
    <t>20_21</t>
  </si>
  <si>
    <t>20_24</t>
  </si>
  <si>
    <t>20_22</t>
  </si>
  <si>
    <t>20_16</t>
  </si>
  <si>
    <t>20_23</t>
  </si>
  <si>
    <t>20_30</t>
  </si>
  <si>
    <t>20_25</t>
  </si>
  <si>
    <t>20_27</t>
  </si>
  <si>
    <t>20_28</t>
  </si>
  <si>
    <t>20_29</t>
  </si>
  <si>
    <t>20_26</t>
  </si>
  <si>
    <t>30_3</t>
  </si>
  <si>
    <t>30_4</t>
  </si>
  <si>
    <t>30_2</t>
  </si>
  <si>
    <t>30_1</t>
  </si>
  <si>
    <t>30_6</t>
  </si>
  <si>
    <t>30_12</t>
  </si>
  <si>
    <t>30_9</t>
  </si>
  <si>
    <t>30_14</t>
  </si>
  <si>
    <t>30_5</t>
  </si>
  <si>
    <t>30_7</t>
  </si>
  <si>
    <t>30_13</t>
  </si>
  <si>
    <t>30_8</t>
  </si>
  <si>
    <t>30_10</t>
  </si>
  <si>
    <t>30_11</t>
  </si>
  <si>
    <t>30_23</t>
  </si>
  <si>
    <t>30_21</t>
  </si>
  <si>
    <t>30_15</t>
  </si>
  <si>
    <t>30_16</t>
  </si>
  <si>
    <t>30_20</t>
  </si>
  <si>
    <t>30_24</t>
  </si>
  <si>
    <t>30_19</t>
  </si>
  <si>
    <t>30_22</t>
  </si>
  <si>
    <t>30_17</t>
  </si>
  <si>
    <t>30_18</t>
  </si>
  <si>
    <t>30_29</t>
  </si>
  <si>
    <t>30_30</t>
  </si>
  <si>
    <t>30_25</t>
  </si>
  <si>
    <t>30_26</t>
  </si>
  <si>
    <t>30_27</t>
  </si>
  <si>
    <t>30_28</t>
  </si>
  <si>
    <t>60_3</t>
  </si>
  <si>
    <t>60_6</t>
  </si>
  <si>
    <t>60_13</t>
  </si>
  <si>
    <t>60_7</t>
  </si>
  <si>
    <t>60_23</t>
  </si>
  <si>
    <t>60_8</t>
  </si>
  <si>
    <t>60_19</t>
  </si>
  <si>
    <t>60_29</t>
  </si>
  <si>
    <t>60_25</t>
  </si>
  <si>
    <t>60_10</t>
  </si>
  <si>
    <t>60_5</t>
  </si>
  <si>
    <t>50_5</t>
  </si>
  <si>
    <t>50_7</t>
  </si>
  <si>
    <t>50_3</t>
  </si>
  <si>
    <t>50_18</t>
  </si>
  <si>
    <t>50_14</t>
  </si>
  <si>
    <t>50_2</t>
  </si>
  <si>
    <t>50_13</t>
  </si>
  <si>
    <t>50_8</t>
  </si>
  <si>
    <t>50_16</t>
  </si>
  <si>
    <t>50_15</t>
  </si>
  <si>
    <t>50_11</t>
  </si>
  <si>
    <t>50_22</t>
  </si>
  <si>
    <t>50_27</t>
  </si>
  <si>
    <t>50_19</t>
  </si>
  <si>
    <t>50_23</t>
  </si>
  <si>
    <t>50_17</t>
  </si>
  <si>
    <t>50_21</t>
  </si>
  <si>
    <t>50_25</t>
  </si>
  <si>
    <t>50_12</t>
  </si>
  <si>
    <t>50_1</t>
  </si>
  <si>
    <t>50_26</t>
  </si>
  <si>
    <t>50_28</t>
  </si>
  <si>
    <t>50_29</t>
  </si>
  <si>
    <t>50_4</t>
  </si>
  <si>
    <t>50_20</t>
  </si>
  <si>
    <t>50_31</t>
  </si>
  <si>
    <t>50_30</t>
  </si>
  <si>
    <t>40_3</t>
  </si>
  <si>
    <t>40_6</t>
  </si>
  <si>
    <t>40_2</t>
  </si>
  <si>
    <t>40_1</t>
  </si>
  <si>
    <t>40_4</t>
  </si>
  <si>
    <t>40_11</t>
  </si>
  <si>
    <t>40_8</t>
  </si>
  <si>
    <t>40_12</t>
  </si>
  <si>
    <t>40_17</t>
  </si>
  <si>
    <t>40_13</t>
  </si>
  <si>
    <t>40_10</t>
  </si>
  <si>
    <t>40_16</t>
  </si>
  <si>
    <t>40_14</t>
  </si>
  <si>
    <t>40_9</t>
  </si>
  <si>
    <t>40_19</t>
  </si>
  <si>
    <t>40_18</t>
  </si>
  <si>
    <t>40_22</t>
  </si>
  <si>
    <t>40_26</t>
  </si>
  <si>
    <t>40_27</t>
  </si>
  <si>
    <t>40_24</t>
  </si>
  <si>
    <t>40_21</t>
  </si>
  <si>
    <t>40_25</t>
  </si>
  <si>
    <t>40_20</t>
  </si>
  <si>
    <t>40_30</t>
  </si>
  <si>
    <t>40_5</t>
  </si>
  <si>
    <t>40_28</t>
  </si>
  <si>
    <t>40_29</t>
  </si>
  <si>
    <t>40_23</t>
  </si>
  <si>
    <t>40_15</t>
  </si>
  <si>
    <t>40_7</t>
  </si>
  <si>
    <t>Avg.Num.SP-S2</t>
    <phoneticPr fontId="18" type="noConversion"/>
  </si>
  <si>
    <t>Avg.SP-S2.Time</t>
    <phoneticPr fontId="18" type="noConversion"/>
  </si>
  <si>
    <t>Cut1</t>
    <phoneticPr fontId="18" type="noConversion"/>
  </si>
  <si>
    <t>Cut2</t>
    <phoneticPr fontId="18" type="noConversion"/>
  </si>
  <si>
    <t>Cut3</t>
    <phoneticPr fontId="18" type="noConversion"/>
  </si>
  <si>
    <t>Num.Ins.Opt</t>
    <phoneticPr fontId="18" type="noConversion"/>
  </si>
  <si>
    <t>Avg.MP.Time</t>
  </si>
  <si>
    <t>Avg.MP.Time</t>
    <phoneticPr fontId="18" type="noConversion"/>
  </si>
  <si>
    <t>Avg.SP.Time</t>
  </si>
  <si>
    <t>Avg.SP.Time</t>
    <phoneticPr fontId="18" type="noConversion"/>
  </si>
  <si>
    <t>Num.Ins.Solved</t>
  </si>
  <si>
    <t>Avg.Total.Time</t>
  </si>
  <si>
    <t>Avg.Nogood.Cut</t>
  </si>
  <si>
    <t>Avg.Nogood.Cut</t>
    <phoneticPr fontId="18" type="noConversion"/>
  </si>
  <si>
    <t>d</t>
    <phoneticPr fontId="18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</si>
</sst>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18"/>
      <color theme="3"/>
      <name val="等线 Light"/>
      <family val="2"/>
      <charset val="134"/>
      <scheme val="major"/>
    </font>
    <font>
      <b/>
      <sz val="15"/>
      <color theme="3"/>
      <name val="等线"/>
      <family val="2"/>
      <charset val="134"/>
      <scheme val="minor"/>
    </font>
    <font>
      <b/>
      <sz val="13"/>
      <color theme="3"/>
      <name val="等线"/>
      <family val="2"/>
      <charset val="134"/>
      <scheme val="minor"/>
    </font>
    <font>
      <b/>
      <sz val="11"/>
      <color theme="3"/>
      <name val="等线"/>
      <family val="2"/>
      <charset val="134"/>
      <scheme val="minor"/>
    </font>
    <font>
      <sz val="11"/>
      <color rgb="FF006100"/>
      <name val="等线"/>
      <family val="2"/>
      <charset val="134"/>
      <scheme val="minor"/>
    </font>
    <font>
      <sz val="11"/>
      <color rgb="FF9C0006"/>
      <name val="等线"/>
      <family val="2"/>
      <charset val="134"/>
      <scheme val="minor"/>
    </font>
    <font>
      <sz val="11"/>
      <color rgb="FF9C5700"/>
      <name val="等线"/>
      <family val="2"/>
      <charset val="134"/>
      <scheme val="minor"/>
    </font>
    <font>
      <sz val="11"/>
      <color rgb="FF3F3F76"/>
      <name val="等线"/>
      <family val="2"/>
      <charset val="134"/>
      <scheme val="minor"/>
    </font>
    <font>
      <b/>
      <sz val="11"/>
      <color rgb="FF3F3F3F"/>
      <name val="等线"/>
      <family val="2"/>
      <charset val="134"/>
      <scheme val="minor"/>
    </font>
    <font>
      <b/>
      <sz val="11"/>
      <color rgb="FFFA7D00"/>
      <name val="等线"/>
      <family val="2"/>
      <charset val="134"/>
      <scheme val="minor"/>
    </font>
    <font>
      <sz val="11"/>
      <color rgb="FFFA7D00"/>
      <name val="等线"/>
      <family val="2"/>
      <charset val="134"/>
      <scheme val="minor"/>
    </font>
    <font>
      <b/>
      <sz val="11"/>
      <color theme="0"/>
      <name val="等线"/>
      <family val="2"/>
      <charset val="134"/>
      <scheme val="minor"/>
    </font>
    <font>
      <sz val="11"/>
      <color rgb="FFFF0000"/>
      <name val="等线"/>
      <family val="2"/>
      <charset val="134"/>
      <scheme val="minor"/>
    </font>
    <font>
      <i/>
      <sz val="11"/>
      <color rgb="FF7F7F7F"/>
      <name val="等线"/>
      <family val="2"/>
      <charset val="134"/>
      <scheme val="minor"/>
    </font>
    <font>
      <b/>
      <sz val="11"/>
      <color theme="1"/>
      <name val="等线"/>
      <family val="2"/>
      <charset val="134"/>
      <scheme val="minor"/>
    </font>
    <font>
      <sz val="11"/>
      <color theme="0"/>
      <name val="等线"/>
      <family val="2"/>
      <charset val="134"/>
      <scheme val="minor"/>
    </font>
    <font>
      <sz val="9"/>
      <name val="等线"/>
      <family val="2"/>
      <charset val="134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n">
        <color indexed="64"/>
      </bottom>
      <diagonal/>
    </border>
  </borders>
  <cellStyleXfs count="4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</cellStyleXfs>
  <cellXfs count="3">
    <xf numFmtId="0" fontId="0" fillId="0" borderId="0" xfId="0">
      <alignment vertical="center"/>
    </xf>
    <xf numFmtId="0" fontId="0" fillId="0" borderId="10" xfId="0" applyBorder="1">
      <alignment vertical="center"/>
    </xf>
    <xf numFmtId="0" fontId="0" fillId="0" borderId="0" xfId="0" applyAlignment="1">
      <alignment horizontal="center" vertical="center"/>
    </xf>
  </cellXfs>
  <cellStyles count="42">
    <cellStyle name="20% - 着色 1" xfId="19" builtinId="30" customBuiltin="1"/>
    <cellStyle name="20% - 着色 2" xfId="23" builtinId="34" customBuiltin="1"/>
    <cellStyle name="20% - 着色 3" xfId="27" builtinId="38" customBuiltin="1"/>
    <cellStyle name="20% - 着色 4" xfId="31" builtinId="42" customBuiltin="1"/>
    <cellStyle name="20% - 着色 5" xfId="35" builtinId="46" customBuiltin="1"/>
    <cellStyle name="20% - 着色 6" xfId="39" builtinId="50" customBuiltin="1"/>
    <cellStyle name="40% - 着色 1" xfId="20" builtinId="31" customBuiltin="1"/>
    <cellStyle name="40% - 着色 2" xfId="24" builtinId="35" customBuiltin="1"/>
    <cellStyle name="40% - 着色 3" xfId="28" builtinId="39" customBuiltin="1"/>
    <cellStyle name="40% - 着色 4" xfId="32" builtinId="43" customBuiltin="1"/>
    <cellStyle name="40% - 着色 5" xfId="36" builtinId="47" customBuiltin="1"/>
    <cellStyle name="40% - 着色 6" xfId="40" builtinId="51" customBuiltin="1"/>
    <cellStyle name="60% - 着色 1" xfId="21" builtinId="32" customBuiltin="1"/>
    <cellStyle name="60% - 着色 2" xfId="25" builtinId="36" customBuiltin="1"/>
    <cellStyle name="60% - 着色 3" xfId="29" builtinId="40" customBuiltin="1"/>
    <cellStyle name="60% - 着色 4" xfId="33" builtinId="44" customBuiltin="1"/>
    <cellStyle name="60% - 着色 5" xfId="37" builtinId="48" customBuiltin="1"/>
    <cellStyle name="60% - 着色 6" xfId="41" builtinId="52" customBuiltin="1"/>
    <cellStyle name="标题" xfId="1" builtinId="15" customBuiltin="1"/>
    <cellStyle name="标题 1" xfId="2" builtinId="16" customBuiltin="1"/>
    <cellStyle name="标题 2" xfId="3" builtinId="17" customBuiltin="1"/>
    <cellStyle name="标题 3" xfId="4" builtinId="18" customBuiltin="1"/>
    <cellStyle name="标题 4" xfId="5" builtinId="19" customBuiltin="1"/>
    <cellStyle name="差" xfId="7" builtinId="27" customBuiltin="1"/>
    <cellStyle name="常规" xfId="0" builtinId="0"/>
    <cellStyle name="好" xfId="6" builtinId="26" customBuiltin="1"/>
    <cellStyle name="汇总" xfId="17" builtinId="25" customBuiltin="1"/>
    <cellStyle name="计算" xfId="11" builtinId="22" customBuiltin="1"/>
    <cellStyle name="检查单元格" xfId="13" builtinId="23" customBuiltin="1"/>
    <cellStyle name="解释性文本" xfId="16" builtinId="53" customBuiltin="1"/>
    <cellStyle name="警告文本" xfId="14" builtinId="11" customBuiltin="1"/>
    <cellStyle name="链接单元格" xfId="12" builtinId="24" customBuiltin="1"/>
    <cellStyle name="适中" xfId="8" builtinId="28" customBuiltin="1"/>
    <cellStyle name="输出" xfId="10" builtinId="21" customBuiltin="1"/>
    <cellStyle name="输入" xfId="9" builtinId="20" customBuiltin="1"/>
    <cellStyle name="着色 1" xfId="18" builtinId="29" customBuiltin="1"/>
    <cellStyle name="着色 2" xfId="22" builtinId="33" customBuiltin="1"/>
    <cellStyle name="着色 3" xfId="26" builtinId="37" customBuiltin="1"/>
    <cellStyle name="着色 4" xfId="30" builtinId="41" customBuiltin="1"/>
    <cellStyle name="着色 5" xfId="34" builtinId="45" customBuiltin="1"/>
    <cellStyle name="着色 6" xfId="38" builtinId="49" customBuiltin="1"/>
    <cellStyle name="注释" xfId="15" builtinId="10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AV159"/>
  <sheetViews>
    <sheetView topLeftCell="U1" workbookViewId="0">
      <selection activeCell="AD1" sqref="AD1:AD1048576"/>
    </sheetView>
  </sheetViews>
  <sheetFormatPr defaultRowHeight="14" x14ac:dyDescent="0.3"/>
  <sheetData>
    <row r="1" spans="1:48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206</v>
      </c>
      <c r="P1" t="s">
        <v>14</v>
      </c>
      <c r="R1" t="s">
        <v>15</v>
      </c>
      <c r="S1" t="s">
        <v>16</v>
      </c>
      <c r="T1" t="s">
        <v>200</v>
      </c>
      <c r="U1" t="s">
        <v>17</v>
      </c>
      <c r="V1" t="s">
        <v>18</v>
      </c>
      <c r="W1" t="s">
        <v>19</v>
      </c>
      <c r="X1" t="s">
        <v>20</v>
      </c>
      <c r="Y1" t="s">
        <v>21</v>
      </c>
      <c r="Z1" t="s">
        <v>22</v>
      </c>
      <c r="AA1" t="s">
        <v>23</v>
      </c>
      <c r="AB1" t="s">
        <v>202</v>
      </c>
      <c r="AC1" t="s">
        <v>24</v>
      </c>
      <c r="AD1" t="s">
        <v>204</v>
      </c>
      <c r="AE1" t="s">
        <v>25</v>
      </c>
      <c r="AF1" t="s">
        <v>26</v>
      </c>
      <c r="AG1" t="s">
        <v>197</v>
      </c>
      <c r="AH1" t="s">
        <v>27</v>
      </c>
      <c r="AI1" t="s">
        <v>198</v>
      </c>
      <c r="AJ1" t="s">
        <v>28</v>
      </c>
      <c r="AK1" t="s">
        <v>199</v>
      </c>
      <c r="AL1" t="s">
        <v>29</v>
      </c>
      <c r="AM1" t="s">
        <v>208</v>
      </c>
      <c r="AN1" t="s">
        <v>30</v>
      </c>
      <c r="AO1" t="s">
        <v>31</v>
      </c>
      <c r="AP1" t="s">
        <v>32</v>
      </c>
      <c r="AQ1" t="s">
        <v>33</v>
      </c>
      <c r="AR1" t="s">
        <v>34</v>
      </c>
      <c r="AS1" t="s">
        <v>35</v>
      </c>
      <c r="AT1" t="s">
        <v>195</v>
      </c>
      <c r="AU1" t="s">
        <v>36</v>
      </c>
      <c r="AV1" t="s">
        <v>196</v>
      </c>
    </row>
    <row r="2" spans="1:48" x14ac:dyDescent="0.3">
      <c r="A2" t="s">
        <v>37</v>
      </c>
      <c r="B2">
        <v>1600.000033</v>
      </c>
      <c r="C2">
        <v>1.9175000000000001E-2</v>
      </c>
      <c r="D2">
        <v>601</v>
      </c>
      <c r="E2">
        <v>1415</v>
      </c>
      <c r="F2">
        <v>0</v>
      </c>
      <c r="G2">
        <v>0</v>
      </c>
      <c r="H2">
        <v>20001</v>
      </c>
      <c r="I2">
        <v>0</v>
      </c>
      <c r="J2">
        <v>0</v>
      </c>
      <c r="K2">
        <v>1</v>
      </c>
      <c r="L2">
        <v>20001</v>
      </c>
      <c r="M2">
        <v>1600.000033</v>
      </c>
      <c r="N2">
        <v>8.7809999999999999E-2</v>
      </c>
      <c r="O2">
        <v>0.11539513333333332</v>
      </c>
      <c r="P2">
        <v>1</v>
      </c>
      <c r="Q2">
        <f>AVERAGE(P2:P31)</f>
        <v>1</v>
      </c>
      <c r="R2">
        <v>21601.000029999999</v>
      </c>
      <c r="S2">
        <v>21601.000029999999</v>
      </c>
      <c r="T2">
        <f>SUM(U2:U31)</f>
        <v>30</v>
      </c>
      <c r="U2">
        <v>1</v>
      </c>
      <c r="V2">
        <v>1</v>
      </c>
      <c r="W2">
        <v>1</v>
      </c>
      <c r="X2">
        <v>0</v>
      </c>
      <c r="Y2">
        <v>0</v>
      </c>
      <c r="Z2">
        <v>0</v>
      </c>
      <c r="AA2">
        <v>0</v>
      </c>
      <c r="AB2">
        <f>AVERAGE(AA2:AA31)</f>
        <v>0</v>
      </c>
      <c r="AC2">
        <v>6.8635000000000002E-2</v>
      </c>
      <c r="AD2">
        <f>AVERAGE(AC2:AC31)</f>
        <v>0.10292366666666665</v>
      </c>
      <c r="AE2">
        <v>1</v>
      </c>
      <c r="AF2">
        <v>7</v>
      </c>
      <c r="AG2">
        <f>AVERAGE(AF2:AF31)</f>
        <v>6.4333333333333336</v>
      </c>
      <c r="AH2">
        <v>0</v>
      </c>
      <c r="AI2">
        <f>AVERAGE(AH2:AH31)</f>
        <v>0</v>
      </c>
      <c r="AJ2">
        <v>5</v>
      </c>
      <c r="AK2">
        <f>AVERAGE(AJ2:AJ31)</f>
        <v>10.266666666666667</v>
      </c>
      <c r="AL2">
        <v>0</v>
      </c>
      <c r="AM2">
        <f>AVERAGE(AL2:AL31)</f>
        <v>0.16666666666666666</v>
      </c>
      <c r="AN2">
        <v>7</v>
      </c>
      <c r="AO2">
        <v>0</v>
      </c>
      <c r="AP2">
        <v>5</v>
      </c>
      <c r="AQ2">
        <v>0</v>
      </c>
      <c r="AR2">
        <v>3.0000000000000001E-3</v>
      </c>
      <c r="AS2">
        <v>2</v>
      </c>
      <c r="AT2">
        <f>AVERAGE(AS2:AS31)</f>
        <v>2.4333333333333331</v>
      </c>
      <c r="AU2">
        <v>1.5E-3</v>
      </c>
      <c r="AV2">
        <f>AVERAGE(AU2:AU31)</f>
        <v>3.8172000000000006E-3</v>
      </c>
    </row>
    <row r="3" spans="1:48" x14ac:dyDescent="0.3">
      <c r="A3" t="s">
        <v>38</v>
      </c>
      <c r="B3">
        <v>1479.999898</v>
      </c>
      <c r="C3">
        <v>1.5200999999999999E-2</v>
      </c>
      <c r="D3">
        <v>751</v>
      </c>
      <c r="E3">
        <v>1824</v>
      </c>
      <c r="F3">
        <v>0</v>
      </c>
      <c r="G3">
        <v>0</v>
      </c>
      <c r="H3">
        <v>20001</v>
      </c>
      <c r="I3">
        <v>0</v>
      </c>
      <c r="J3">
        <v>0</v>
      </c>
      <c r="K3">
        <v>1</v>
      </c>
      <c r="L3">
        <v>20001</v>
      </c>
      <c r="M3">
        <v>1479.999898</v>
      </c>
      <c r="N3">
        <v>7.3563999999999991E-2</v>
      </c>
      <c r="P3">
        <v>1</v>
      </c>
      <c r="R3">
        <v>21480.999899999999</v>
      </c>
      <c r="S3">
        <v>21480.999899999999</v>
      </c>
      <c r="U3">
        <v>1</v>
      </c>
      <c r="V3">
        <v>1</v>
      </c>
      <c r="W3">
        <v>1</v>
      </c>
      <c r="X3">
        <v>0</v>
      </c>
      <c r="Y3">
        <v>0</v>
      </c>
      <c r="Z3">
        <v>0</v>
      </c>
      <c r="AA3">
        <v>0</v>
      </c>
      <c r="AC3">
        <v>5.8362999999999998E-2</v>
      </c>
      <c r="AE3">
        <v>1</v>
      </c>
      <c r="AF3">
        <v>2</v>
      </c>
      <c r="AH3">
        <v>0</v>
      </c>
      <c r="AJ3">
        <v>10</v>
      </c>
      <c r="AL3">
        <v>0</v>
      </c>
      <c r="AN3">
        <v>2</v>
      </c>
      <c r="AO3">
        <v>0</v>
      </c>
      <c r="AP3">
        <v>10</v>
      </c>
      <c r="AQ3">
        <v>0</v>
      </c>
      <c r="AR3">
        <v>5.0000000000000001E-3</v>
      </c>
      <c r="AS3">
        <v>2</v>
      </c>
      <c r="AU3">
        <v>2.5000000000000001E-3</v>
      </c>
    </row>
    <row r="4" spans="1:48" x14ac:dyDescent="0.3">
      <c r="A4" t="s">
        <v>39</v>
      </c>
      <c r="B4">
        <v>1520.000008</v>
      </c>
      <c r="C4">
        <v>9.6970000000000008E-3</v>
      </c>
      <c r="D4">
        <v>1146</v>
      </c>
      <c r="E4">
        <v>3007</v>
      </c>
      <c r="F4">
        <v>0</v>
      </c>
      <c r="G4">
        <v>0</v>
      </c>
      <c r="H4">
        <v>20002</v>
      </c>
      <c r="I4">
        <v>0</v>
      </c>
      <c r="J4">
        <v>0</v>
      </c>
      <c r="K4">
        <v>1</v>
      </c>
      <c r="L4">
        <v>20002</v>
      </c>
      <c r="M4">
        <v>1519.999992</v>
      </c>
      <c r="N4">
        <v>6.5268000000000007E-2</v>
      </c>
      <c r="P4">
        <v>1</v>
      </c>
      <c r="R4">
        <v>21521.99999</v>
      </c>
      <c r="S4">
        <v>21522.00001</v>
      </c>
      <c r="U4">
        <v>1</v>
      </c>
      <c r="V4">
        <v>1</v>
      </c>
      <c r="W4">
        <v>1</v>
      </c>
      <c r="X4">
        <v>0</v>
      </c>
      <c r="Y4">
        <v>0</v>
      </c>
      <c r="Z4">
        <v>0</v>
      </c>
      <c r="AA4">
        <v>0</v>
      </c>
      <c r="AC4">
        <v>5.5571000000000002E-2</v>
      </c>
      <c r="AE4">
        <v>1</v>
      </c>
      <c r="AF4">
        <v>7</v>
      </c>
      <c r="AH4">
        <v>0</v>
      </c>
      <c r="AJ4">
        <v>2</v>
      </c>
      <c r="AL4">
        <v>0</v>
      </c>
      <c r="AN4">
        <v>7</v>
      </c>
      <c r="AO4">
        <v>0</v>
      </c>
      <c r="AP4">
        <v>2</v>
      </c>
      <c r="AQ4">
        <v>0</v>
      </c>
      <c r="AR4">
        <v>4.0000000000000001E-3</v>
      </c>
      <c r="AS4">
        <v>2</v>
      </c>
      <c r="AU4">
        <v>2E-3</v>
      </c>
    </row>
    <row r="5" spans="1:48" x14ac:dyDescent="0.3">
      <c r="A5" t="s">
        <v>40</v>
      </c>
      <c r="B5">
        <v>1470.0000439999999</v>
      </c>
      <c r="C5">
        <v>1.1148999999999999E-2</v>
      </c>
      <c r="D5">
        <v>1934</v>
      </c>
      <c r="E5">
        <v>5826</v>
      </c>
      <c r="F5">
        <v>1E-3</v>
      </c>
      <c r="G5">
        <v>0</v>
      </c>
      <c r="H5">
        <v>20003</v>
      </c>
      <c r="I5">
        <v>0</v>
      </c>
      <c r="J5">
        <v>0</v>
      </c>
      <c r="K5">
        <v>1</v>
      </c>
      <c r="L5">
        <v>20003</v>
      </c>
      <c r="M5">
        <v>1470.0000439999999</v>
      </c>
      <c r="N5">
        <v>6.4253000000000005E-2</v>
      </c>
      <c r="P5">
        <v>1</v>
      </c>
      <c r="R5">
        <v>21473.000039999999</v>
      </c>
      <c r="S5">
        <v>21473.000039999999</v>
      </c>
      <c r="U5">
        <v>1</v>
      </c>
      <c r="V5">
        <v>1</v>
      </c>
      <c r="W5">
        <v>1</v>
      </c>
      <c r="X5">
        <v>0</v>
      </c>
      <c r="Y5">
        <v>0</v>
      </c>
      <c r="Z5">
        <v>0</v>
      </c>
      <c r="AA5">
        <v>0</v>
      </c>
      <c r="AC5">
        <v>5.2103999999999998E-2</v>
      </c>
      <c r="AE5">
        <v>1</v>
      </c>
      <c r="AF5">
        <v>5</v>
      </c>
      <c r="AH5">
        <v>0</v>
      </c>
      <c r="AJ5">
        <v>0</v>
      </c>
      <c r="AL5">
        <v>0</v>
      </c>
      <c r="AN5">
        <v>5</v>
      </c>
      <c r="AO5">
        <v>0</v>
      </c>
      <c r="AP5">
        <v>0</v>
      </c>
      <c r="AQ5">
        <v>0</v>
      </c>
      <c r="AR5">
        <v>4.0000000000000001E-3</v>
      </c>
      <c r="AS5">
        <v>3</v>
      </c>
      <c r="AU5">
        <v>1.333E-3</v>
      </c>
    </row>
    <row r="6" spans="1:48" x14ac:dyDescent="0.3">
      <c r="A6" t="s">
        <v>41</v>
      </c>
      <c r="B6">
        <v>1609.999961</v>
      </c>
      <c r="C6">
        <v>1.1050000000000001E-2</v>
      </c>
      <c r="D6">
        <v>1252</v>
      </c>
      <c r="E6">
        <v>3395</v>
      </c>
      <c r="F6">
        <v>0</v>
      </c>
      <c r="G6">
        <v>0</v>
      </c>
      <c r="H6">
        <v>20002</v>
      </c>
      <c r="I6">
        <v>0</v>
      </c>
      <c r="J6">
        <v>0</v>
      </c>
      <c r="K6">
        <v>1</v>
      </c>
      <c r="L6">
        <v>20002</v>
      </c>
      <c r="M6">
        <v>1609.999961</v>
      </c>
      <c r="N6">
        <v>0.52997400000000006</v>
      </c>
      <c r="P6">
        <v>1</v>
      </c>
      <c r="R6">
        <v>21611.999960000001</v>
      </c>
      <c r="S6">
        <v>21611.999960000001</v>
      </c>
      <c r="U6">
        <v>1</v>
      </c>
      <c r="V6">
        <v>1</v>
      </c>
      <c r="W6">
        <v>1</v>
      </c>
      <c r="X6">
        <v>0</v>
      </c>
      <c r="Y6">
        <v>0</v>
      </c>
      <c r="Z6">
        <v>0</v>
      </c>
      <c r="AA6">
        <v>0</v>
      </c>
      <c r="AC6">
        <v>0.51892400000000005</v>
      </c>
      <c r="AE6">
        <v>1</v>
      </c>
      <c r="AF6">
        <v>19</v>
      </c>
      <c r="AH6">
        <v>0</v>
      </c>
      <c r="AJ6">
        <v>16</v>
      </c>
      <c r="AL6">
        <v>0</v>
      </c>
      <c r="AN6">
        <v>19</v>
      </c>
      <c r="AO6">
        <v>0</v>
      </c>
      <c r="AP6">
        <v>16</v>
      </c>
      <c r="AQ6">
        <v>0</v>
      </c>
      <c r="AR6">
        <v>0.03</v>
      </c>
      <c r="AS6">
        <v>4</v>
      </c>
      <c r="AU6">
        <v>7.4999999999999997E-3</v>
      </c>
    </row>
    <row r="7" spans="1:48" x14ac:dyDescent="0.3">
      <c r="A7" t="s">
        <v>42</v>
      </c>
      <c r="B7">
        <v>1200.0000419999999</v>
      </c>
      <c r="C7">
        <v>1.0200000000000001E-2</v>
      </c>
      <c r="D7">
        <v>2267</v>
      </c>
      <c r="E7">
        <v>7086</v>
      </c>
      <c r="F7">
        <v>1E-3</v>
      </c>
      <c r="G7">
        <v>0</v>
      </c>
      <c r="H7">
        <v>20003</v>
      </c>
      <c r="I7">
        <v>0</v>
      </c>
      <c r="J7">
        <v>0</v>
      </c>
      <c r="K7">
        <v>1</v>
      </c>
      <c r="L7">
        <v>20003</v>
      </c>
      <c r="M7">
        <v>1200.0000419999999</v>
      </c>
      <c r="N7">
        <v>5.1267E-2</v>
      </c>
      <c r="P7">
        <v>1</v>
      </c>
      <c r="R7">
        <v>21203.000039999999</v>
      </c>
      <c r="S7">
        <v>21203.000039999999</v>
      </c>
      <c r="U7">
        <v>1</v>
      </c>
      <c r="V7">
        <v>1</v>
      </c>
      <c r="W7">
        <v>1</v>
      </c>
      <c r="X7">
        <v>0</v>
      </c>
      <c r="Y7">
        <v>0</v>
      </c>
      <c r="Z7">
        <v>0</v>
      </c>
      <c r="AA7">
        <v>0</v>
      </c>
      <c r="AC7">
        <v>4.0066999999999998E-2</v>
      </c>
      <c r="AE7">
        <v>1</v>
      </c>
      <c r="AF7">
        <v>4</v>
      </c>
      <c r="AH7">
        <v>0</v>
      </c>
      <c r="AJ7">
        <v>6</v>
      </c>
      <c r="AL7">
        <v>0</v>
      </c>
      <c r="AN7">
        <v>4</v>
      </c>
      <c r="AO7">
        <v>0</v>
      </c>
      <c r="AP7">
        <v>6</v>
      </c>
      <c r="AQ7">
        <v>0</v>
      </c>
      <c r="AR7">
        <v>4.0000000000000001E-3</v>
      </c>
      <c r="AS7">
        <v>2</v>
      </c>
      <c r="AU7">
        <v>2E-3</v>
      </c>
    </row>
    <row r="8" spans="1:48" x14ac:dyDescent="0.3">
      <c r="A8" t="s">
        <v>43</v>
      </c>
      <c r="B8">
        <v>1529.999922</v>
      </c>
      <c r="C8">
        <v>1.0397E-2</v>
      </c>
      <c r="D8">
        <v>1331</v>
      </c>
      <c r="E8">
        <v>3632</v>
      </c>
      <c r="F8">
        <v>0</v>
      </c>
      <c r="G8">
        <v>0</v>
      </c>
      <c r="H8">
        <v>20002</v>
      </c>
      <c r="I8">
        <v>0</v>
      </c>
      <c r="J8">
        <v>0</v>
      </c>
      <c r="K8">
        <v>1</v>
      </c>
      <c r="L8">
        <v>20002</v>
      </c>
      <c r="M8">
        <v>1529.999922</v>
      </c>
      <c r="N8">
        <v>9.0198E-2</v>
      </c>
      <c r="P8">
        <v>1</v>
      </c>
      <c r="R8">
        <v>21531.999919999998</v>
      </c>
      <c r="S8">
        <v>21531.999919999998</v>
      </c>
      <c r="U8">
        <v>1</v>
      </c>
      <c r="V8">
        <v>1</v>
      </c>
      <c r="W8">
        <v>1</v>
      </c>
      <c r="X8">
        <v>0</v>
      </c>
      <c r="Y8">
        <v>0</v>
      </c>
      <c r="Z8">
        <v>0</v>
      </c>
      <c r="AA8">
        <v>0</v>
      </c>
      <c r="AC8">
        <v>7.9800999999999997E-2</v>
      </c>
      <c r="AE8">
        <v>1</v>
      </c>
      <c r="AF8">
        <v>12</v>
      </c>
      <c r="AH8">
        <v>0</v>
      </c>
      <c r="AJ8">
        <v>22</v>
      </c>
      <c r="AL8">
        <v>0</v>
      </c>
      <c r="AN8">
        <v>12</v>
      </c>
      <c r="AO8">
        <v>0</v>
      </c>
      <c r="AP8">
        <v>22</v>
      </c>
      <c r="AQ8">
        <v>0</v>
      </c>
      <c r="AR8">
        <v>1.2999999999999999E-2</v>
      </c>
      <c r="AS8">
        <v>1</v>
      </c>
      <c r="AU8">
        <v>1.2999999999999999E-2</v>
      </c>
    </row>
    <row r="9" spans="1:48" x14ac:dyDescent="0.3">
      <c r="A9" t="s">
        <v>44</v>
      </c>
      <c r="B9">
        <v>1469.9999660000001</v>
      </c>
      <c r="C9">
        <v>1.2168E-2</v>
      </c>
      <c r="D9">
        <v>1505</v>
      </c>
      <c r="E9">
        <v>4298</v>
      </c>
      <c r="F9">
        <v>1E-3</v>
      </c>
      <c r="G9">
        <v>0</v>
      </c>
      <c r="H9">
        <v>20002</v>
      </c>
      <c r="I9">
        <v>0</v>
      </c>
      <c r="J9">
        <v>0</v>
      </c>
      <c r="K9">
        <v>1</v>
      </c>
      <c r="L9">
        <v>20002</v>
      </c>
      <c r="M9">
        <v>1469.9999660000001</v>
      </c>
      <c r="N9">
        <v>6.3299999999999995E-2</v>
      </c>
      <c r="P9">
        <v>1</v>
      </c>
      <c r="R9">
        <v>21471.999970000001</v>
      </c>
      <c r="S9">
        <v>21471.999970000001</v>
      </c>
      <c r="U9">
        <v>1</v>
      </c>
      <c r="V9">
        <v>1</v>
      </c>
      <c r="W9">
        <v>1</v>
      </c>
      <c r="X9">
        <v>0</v>
      </c>
      <c r="Y9">
        <v>0</v>
      </c>
      <c r="Z9">
        <v>0</v>
      </c>
      <c r="AA9">
        <v>0</v>
      </c>
      <c r="AC9">
        <v>5.0132000000000003E-2</v>
      </c>
      <c r="AE9">
        <v>1</v>
      </c>
      <c r="AF9">
        <v>2</v>
      </c>
      <c r="AH9">
        <v>0</v>
      </c>
      <c r="AJ9">
        <v>2</v>
      </c>
      <c r="AL9">
        <v>0</v>
      </c>
      <c r="AN9">
        <v>2</v>
      </c>
      <c r="AO9">
        <v>0</v>
      </c>
      <c r="AP9">
        <v>2</v>
      </c>
      <c r="AQ9">
        <v>0</v>
      </c>
      <c r="AR9">
        <v>4.0000000000000001E-3</v>
      </c>
      <c r="AS9">
        <v>2</v>
      </c>
      <c r="AU9">
        <v>2E-3</v>
      </c>
    </row>
    <row r="10" spans="1:48" x14ac:dyDescent="0.3">
      <c r="A10" t="s">
        <v>45</v>
      </c>
      <c r="B10">
        <v>1479.9999270000001</v>
      </c>
      <c r="C10">
        <v>2.5665E-2</v>
      </c>
      <c r="D10">
        <v>2197</v>
      </c>
      <c r="E10">
        <v>6806</v>
      </c>
      <c r="F10">
        <v>1E-3</v>
      </c>
      <c r="G10">
        <v>0</v>
      </c>
      <c r="H10">
        <v>20003</v>
      </c>
      <c r="I10">
        <v>0</v>
      </c>
      <c r="J10">
        <v>0</v>
      </c>
      <c r="K10">
        <v>1</v>
      </c>
      <c r="L10">
        <v>20003</v>
      </c>
      <c r="M10">
        <v>1479.9999270000001</v>
      </c>
      <c r="N10">
        <v>0.12143799999999999</v>
      </c>
      <c r="P10">
        <v>1</v>
      </c>
      <c r="R10">
        <v>21482.999930000002</v>
      </c>
      <c r="S10">
        <v>21482.999930000002</v>
      </c>
      <c r="U10">
        <v>1</v>
      </c>
      <c r="V10">
        <v>1</v>
      </c>
      <c r="W10">
        <v>1</v>
      </c>
      <c r="X10">
        <v>0</v>
      </c>
      <c r="Y10">
        <v>0</v>
      </c>
      <c r="Z10">
        <v>0</v>
      </c>
      <c r="AA10">
        <v>0</v>
      </c>
      <c r="AC10">
        <v>9.4772999999999996E-2</v>
      </c>
      <c r="AE10">
        <v>1</v>
      </c>
      <c r="AF10">
        <v>8</v>
      </c>
      <c r="AH10">
        <v>0</v>
      </c>
      <c r="AJ10">
        <v>13</v>
      </c>
      <c r="AL10">
        <v>2</v>
      </c>
      <c r="AN10">
        <v>8</v>
      </c>
      <c r="AO10">
        <v>0</v>
      </c>
      <c r="AP10">
        <v>13</v>
      </c>
      <c r="AQ10">
        <v>2</v>
      </c>
      <c r="AR10">
        <v>2.7E-2</v>
      </c>
      <c r="AS10">
        <v>5</v>
      </c>
      <c r="AU10">
        <v>5.4000000000000003E-3</v>
      </c>
    </row>
    <row r="11" spans="1:48" x14ac:dyDescent="0.3">
      <c r="A11" t="s">
        <v>46</v>
      </c>
      <c r="B11">
        <v>1549.999961</v>
      </c>
      <c r="C11">
        <v>1.4487999999999999E-2</v>
      </c>
      <c r="D11">
        <v>1677</v>
      </c>
      <c r="E11">
        <v>4824</v>
      </c>
      <c r="F11">
        <v>1E-3</v>
      </c>
      <c r="G11">
        <v>0</v>
      </c>
      <c r="H11">
        <v>20002</v>
      </c>
      <c r="I11">
        <v>0</v>
      </c>
      <c r="J11">
        <v>0</v>
      </c>
      <c r="K11">
        <v>1</v>
      </c>
      <c r="L11">
        <v>20002</v>
      </c>
      <c r="M11">
        <v>1549.999961</v>
      </c>
      <c r="N11">
        <v>6.2730999999999995E-2</v>
      </c>
      <c r="P11">
        <v>1</v>
      </c>
      <c r="R11">
        <v>21551.999960000001</v>
      </c>
      <c r="S11">
        <v>21551.999960000001</v>
      </c>
      <c r="U11">
        <v>1</v>
      </c>
      <c r="V11">
        <v>1</v>
      </c>
      <c r="W11">
        <v>1</v>
      </c>
      <c r="X11">
        <v>0</v>
      </c>
      <c r="Y11">
        <v>0</v>
      </c>
      <c r="Z11">
        <v>0</v>
      </c>
      <c r="AA11">
        <v>0</v>
      </c>
      <c r="AC11">
        <v>4.7243E-2</v>
      </c>
      <c r="AE11">
        <v>1</v>
      </c>
      <c r="AF11">
        <v>1</v>
      </c>
      <c r="AH11">
        <v>0</v>
      </c>
      <c r="AJ11">
        <v>9</v>
      </c>
      <c r="AL11">
        <v>0</v>
      </c>
      <c r="AN11">
        <v>1</v>
      </c>
      <c r="AO11">
        <v>0</v>
      </c>
      <c r="AP11">
        <v>9</v>
      </c>
      <c r="AQ11">
        <v>0</v>
      </c>
      <c r="AR11">
        <v>3.0000000000000001E-3</v>
      </c>
      <c r="AS11">
        <v>2</v>
      </c>
      <c r="AU11">
        <v>1.5E-3</v>
      </c>
    </row>
    <row r="12" spans="1:48" x14ac:dyDescent="0.3">
      <c r="A12" t="s">
        <v>47</v>
      </c>
      <c r="B12">
        <v>1560.000014</v>
      </c>
      <c r="C12">
        <v>9.3460000000000001E-3</v>
      </c>
      <c r="D12">
        <v>1677</v>
      </c>
      <c r="E12">
        <v>4824</v>
      </c>
      <c r="F12">
        <v>1E-3</v>
      </c>
      <c r="G12">
        <v>0</v>
      </c>
      <c r="H12">
        <v>20002</v>
      </c>
      <c r="I12">
        <v>0</v>
      </c>
      <c r="J12">
        <v>0</v>
      </c>
      <c r="K12">
        <v>1</v>
      </c>
      <c r="L12">
        <v>20002</v>
      </c>
      <c r="M12">
        <v>1560.000014</v>
      </c>
      <c r="N12">
        <v>0.16520699999999999</v>
      </c>
      <c r="P12">
        <v>1</v>
      </c>
      <c r="R12">
        <v>21562.00001</v>
      </c>
      <c r="S12">
        <v>21562.00001</v>
      </c>
      <c r="U12">
        <v>1</v>
      </c>
      <c r="V12">
        <v>1</v>
      </c>
      <c r="W12">
        <v>1</v>
      </c>
      <c r="X12">
        <v>0</v>
      </c>
      <c r="Y12">
        <v>0</v>
      </c>
      <c r="Z12">
        <v>0</v>
      </c>
      <c r="AA12">
        <v>0</v>
      </c>
      <c r="AC12">
        <v>0.154861</v>
      </c>
      <c r="AE12">
        <v>1</v>
      </c>
      <c r="AF12">
        <v>32</v>
      </c>
      <c r="AH12">
        <v>0</v>
      </c>
      <c r="AJ12">
        <v>6</v>
      </c>
      <c r="AL12">
        <v>0</v>
      </c>
      <c r="AN12">
        <v>32</v>
      </c>
      <c r="AO12">
        <v>0</v>
      </c>
      <c r="AP12">
        <v>6</v>
      </c>
      <c r="AQ12">
        <v>0</v>
      </c>
      <c r="AR12">
        <v>1.6E-2</v>
      </c>
      <c r="AS12">
        <v>2</v>
      </c>
      <c r="AU12">
        <v>8.0000000000000002E-3</v>
      </c>
    </row>
    <row r="13" spans="1:48" x14ac:dyDescent="0.3">
      <c r="A13" t="s">
        <v>48</v>
      </c>
      <c r="B13">
        <v>1479.9999270000001</v>
      </c>
      <c r="C13">
        <v>2.6693000000000001E-2</v>
      </c>
      <c r="D13">
        <v>1296</v>
      </c>
      <c r="E13">
        <v>3567</v>
      </c>
      <c r="F13">
        <v>1E-3</v>
      </c>
      <c r="G13">
        <v>0</v>
      </c>
      <c r="H13">
        <v>20002</v>
      </c>
      <c r="I13">
        <v>0</v>
      </c>
      <c r="J13">
        <v>0</v>
      </c>
      <c r="K13">
        <v>1</v>
      </c>
      <c r="L13">
        <v>20002</v>
      </c>
      <c r="M13">
        <v>1479.9999270000001</v>
      </c>
      <c r="N13">
        <v>0.26933699999999999</v>
      </c>
      <c r="P13">
        <v>1</v>
      </c>
      <c r="R13">
        <v>21481.999930000002</v>
      </c>
      <c r="S13">
        <v>21481.999930000002</v>
      </c>
      <c r="U13">
        <v>1</v>
      </c>
      <c r="V13">
        <v>1</v>
      </c>
      <c r="W13">
        <v>1</v>
      </c>
      <c r="X13">
        <v>0</v>
      </c>
      <c r="Y13">
        <v>0</v>
      </c>
      <c r="Z13">
        <v>0</v>
      </c>
      <c r="AA13">
        <v>0</v>
      </c>
      <c r="AC13">
        <v>0.241644</v>
      </c>
      <c r="AE13">
        <v>1</v>
      </c>
      <c r="AF13">
        <v>9</v>
      </c>
      <c r="AH13">
        <v>0</v>
      </c>
      <c r="AJ13">
        <v>12</v>
      </c>
      <c r="AL13">
        <v>0</v>
      </c>
      <c r="AN13">
        <v>9</v>
      </c>
      <c r="AO13">
        <v>0</v>
      </c>
      <c r="AP13">
        <v>12</v>
      </c>
      <c r="AQ13">
        <v>0</v>
      </c>
      <c r="AR13">
        <v>2.7E-2</v>
      </c>
      <c r="AS13">
        <v>2</v>
      </c>
      <c r="AU13">
        <v>1.35E-2</v>
      </c>
    </row>
    <row r="14" spans="1:48" x14ac:dyDescent="0.3">
      <c r="A14" t="s">
        <v>49</v>
      </c>
      <c r="B14">
        <v>1520.0000379999999</v>
      </c>
      <c r="C14">
        <v>1.0151E-2</v>
      </c>
      <c r="D14">
        <v>1296</v>
      </c>
      <c r="E14">
        <v>3567</v>
      </c>
      <c r="F14">
        <v>0</v>
      </c>
      <c r="G14">
        <v>0</v>
      </c>
      <c r="H14">
        <v>20002</v>
      </c>
      <c r="I14">
        <v>0</v>
      </c>
      <c r="J14">
        <v>0</v>
      </c>
      <c r="K14">
        <v>1</v>
      </c>
      <c r="L14">
        <v>20002</v>
      </c>
      <c r="M14">
        <v>1520.0000379999999</v>
      </c>
      <c r="N14">
        <v>0.22518199999999999</v>
      </c>
      <c r="P14">
        <v>1</v>
      </c>
      <c r="R14">
        <v>21522.000039999999</v>
      </c>
      <c r="S14">
        <v>21522.000039999999</v>
      </c>
      <c r="U14">
        <v>1</v>
      </c>
      <c r="V14">
        <v>1</v>
      </c>
      <c r="W14">
        <v>1</v>
      </c>
      <c r="X14">
        <v>0</v>
      </c>
      <c r="Y14">
        <v>0</v>
      </c>
      <c r="Z14">
        <v>0</v>
      </c>
      <c r="AA14">
        <v>0</v>
      </c>
      <c r="AC14">
        <v>0.215031</v>
      </c>
      <c r="AE14">
        <v>1</v>
      </c>
      <c r="AF14">
        <v>4</v>
      </c>
      <c r="AH14">
        <v>0</v>
      </c>
      <c r="AJ14">
        <v>17</v>
      </c>
      <c r="AL14">
        <v>0</v>
      </c>
      <c r="AN14">
        <v>4</v>
      </c>
      <c r="AO14">
        <v>0</v>
      </c>
      <c r="AP14">
        <v>17</v>
      </c>
      <c r="AQ14">
        <v>0</v>
      </c>
      <c r="AR14">
        <v>5.0000000000000001E-3</v>
      </c>
      <c r="AS14">
        <v>2</v>
      </c>
      <c r="AU14">
        <v>2.5000000000000001E-3</v>
      </c>
    </row>
    <row r="15" spans="1:48" x14ac:dyDescent="0.3">
      <c r="A15" t="s">
        <v>50</v>
      </c>
      <c r="B15">
        <v>1639.9999949999999</v>
      </c>
      <c r="C15">
        <v>1.0024E-2</v>
      </c>
      <c r="D15">
        <v>1837</v>
      </c>
      <c r="E15">
        <v>5482</v>
      </c>
      <c r="F15">
        <v>1E-3</v>
      </c>
      <c r="G15">
        <v>0</v>
      </c>
      <c r="H15">
        <v>30002</v>
      </c>
      <c r="I15">
        <v>0</v>
      </c>
      <c r="J15">
        <v>0</v>
      </c>
      <c r="K15">
        <v>1</v>
      </c>
      <c r="L15">
        <v>30002</v>
      </c>
      <c r="M15">
        <v>1640.000018</v>
      </c>
      <c r="N15">
        <v>7.5716000000000006E-2</v>
      </c>
      <c r="P15">
        <v>1</v>
      </c>
      <c r="R15">
        <v>31642.000019999999</v>
      </c>
      <c r="S15">
        <v>31642</v>
      </c>
      <c r="U15">
        <v>1</v>
      </c>
      <c r="V15">
        <v>1</v>
      </c>
      <c r="W15">
        <v>1</v>
      </c>
      <c r="X15">
        <v>0</v>
      </c>
      <c r="Y15">
        <v>0</v>
      </c>
      <c r="Z15">
        <v>0</v>
      </c>
      <c r="AA15">
        <v>0</v>
      </c>
      <c r="AC15">
        <v>6.4692E-2</v>
      </c>
      <c r="AE15">
        <v>1</v>
      </c>
      <c r="AF15">
        <v>10</v>
      </c>
      <c r="AH15">
        <v>0</v>
      </c>
      <c r="AJ15">
        <v>19</v>
      </c>
      <c r="AL15">
        <v>0</v>
      </c>
      <c r="AN15">
        <v>10</v>
      </c>
      <c r="AO15">
        <v>0</v>
      </c>
      <c r="AP15">
        <v>19</v>
      </c>
      <c r="AQ15">
        <v>0</v>
      </c>
      <c r="AR15">
        <v>2E-3</v>
      </c>
      <c r="AS15">
        <v>1</v>
      </c>
      <c r="AU15">
        <v>2E-3</v>
      </c>
    </row>
    <row r="16" spans="1:48" x14ac:dyDescent="0.3">
      <c r="A16" t="s">
        <v>51</v>
      </c>
      <c r="B16">
        <v>1549.999961</v>
      </c>
      <c r="C16">
        <v>1.0755000000000001E-2</v>
      </c>
      <c r="D16">
        <v>354</v>
      </c>
      <c r="E16">
        <v>736</v>
      </c>
      <c r="F16">
        <v>0</v>
      </c>
      <c r="G16">
        <v>0</v>
      </c>
      <c r="H16">
        <v>20001</v>
      </c>
      <c r="I16">
        <v>0</v>
      </c>
      <c r="J16">
        <v>0</v>
      </c>
      <c r="K16">
        <v>1</v>
      </c>
      <c r="L16">
        <v>20001</v>
      </c>
      <c r="M16">
        <v>1549.999961</v>
      </c>
      <c r="N16">
        <v>5.9172000000000002E-2</v>
      </c>
      <c r="P16">
        <v>1</v>
      </c>
      <c r="R16">
        <v>21550.999960000001</v>
      </c>
      <c r="S16">
        <v>21550.999960000001</v>
      </c>
      <c r="U16">
        <v>1</v>
      </c>
      <c r="V16">
        <v>1</v>
      </c>
      <c r="W16">
        <v>1</v>
      </c>
      <c r="X16">
        <v>0</v>
      </c>
      <c r="Y16">
        <v>0</v>
      </c>
      <c r="Z16">
        <v>0</v>
      </c>
      <c r="AA16">
        <v>0</v>
      </c>
      <c r="AC16">
        <v>4.8417000000000002E-2</v>
      </c>
      <c r="AE16">
        <v>1</v>
      </c>
      <c r="AF16">
        <v>2</v>
      </c>
      <c r="AH16">
        <v>0</v>
      </c>
      <c r="AJ16">
        <v>4</v>
      </c>
      <c r="AL16">
        <v>0</v>
      </c>
      <c r="AN16">
        <v>2</v>
      </c>
      <c r="AO16">
        <v>0</v>
      </c>
      <c r="AP16">
        <v>4</v>
      </c>
      <c r="AQ16">
        <v>0</v>
      </c>
      <c r="AR16">
        <v>3.0000000000000001E-3</v>
      </c>
      <c r="AS16">
        <v>2</v>
      </c>
      <c r="AU16">
        <v>1.5E-3</v>
      </c>
    </row>
    <row r="17" spans="1:48" x14ac:dyDescent="0.3">
      <c r="A17" t="s">
        <v>52</v>
      </c>
      <c r="B17">
        <v>1490.000063</v>
      </c>
      <c r="C17">
        <v>9.2230000000000003E-3</v>
      </c>
      <c r="D17">
        <v>1803</v>
      </c>
      <c r="E17">
        <v>5366</v>
      </c>
      <c r="F17">
        <v>1E-3</v>
      </c>
      <c r="G17">
        <v>0</v>
      </c>
      <c r="H17">
        <v>20003</v>
      </c>
      <c r="I17">
        <v>0</v>
      </c>
      <c r="J17">
        <v>0</v>
      </c>
      <c r="K17">
        <v>1</v>
      </c>
      <c r="L17">
        <v>20003</v>
      </c>
      <c r="M17">
        <v>1490.000063</v>
      </c>
      <c r="N17">
        <v>6.2248999999999999E-2</v>
      </c>
      <c r="P17">
        <v>1</v>
      </c>
      <c r="R17">
        <v>21493.000059999998</v>
      </c>
      <c r="S17">
        <v>21493.000059999998</v>
      </c>
      <c r="U17">
        <v>1</v>
      </c>
      <c r="V17">
        <v>1</v>
      </c>
      <c r="W17">
        <v>1</v>
      </c>
      <c r="X17">
        <v>0</v>
      </c>
      <c r="Y17">
        <v>0</v>
      </c>
      <c r="Z17">
        <v>0</v>
      </c>
      <c r="AA17">
        <v>0</v>
      </c>
      <c r="AC17">
        <v>5.2026000000000003E-2</v>
      </c>
      <c r="AE17">
        <v>1</v>
      </c>
      <c r="AF17">
        <v>9</v>
      </c>
      <c r="AH17">
        <v>0</v>
      </c>
      <c r="AJ17">
        <v>18</v>
      </c>
      <c r="AL17">
        <v>0</v>
      </c>
      <c r="AN17">
        <v>9</v>
      </c>
      <c r="AO17">
        <v>0</v>
      </c>
      <c r="AP17">
        <v>18</v>
      </c>
      <c r="AQ17">
        <v>0</v>
      </c>
      <c r="AR17">
        <v>3.0000000000000001E-3</v>
      </c>
      <c r="AS17">
        <v>2</v>
      </c>
      <c r="AU17">
        <v>1.5E-3</v>
      </c>
    </row>
    <row r="18" spans="1:48" x14ac:dyDescent="0.3">
      <c r="A18" t="s">
        <v>53</v>
      </c>
      <c r="B18">
        <v>1609.999961</v>
      </c>
      <c r="C18">
        <v>1.1440000000000001E-2</v>
      </c>
      <c r="D18">
        <v>757</v>
      </c>
      <c r="E18">
        <v>1832</v>
      </c>
      <c r="F18">
        <v>0</v>
      </c>
      <c r="G18">
        <v>0</v>
      </c>
      <c r="H18">
        <v>20001</v>
      </c>
      <c r="I18">
        <v>0</v>
      </c>
      <c r="J18">
        <v>0</v>
      </c>
      <c r="K18">
        <v>1</v>
      </c>
      <c r="L18">
        <v>20001</v>
      </c>
      <c r="M18">
        <v>1609.999961</v>
      </c>
      <c r="N18">
        <v>7.748300000000001E-2</v>
      </c>
      <c r="P18">
        <v>1</v>
      </c>
      <c r="R18">
        <v>21610.999960000001</v>
      </c>
      <c r="S18">
        <v>21610.999960000001</v>
      </c>
      <c r="U18">
        <v>1</v>
      </c>
      <c r="V18">
        <v>1</v>
      </c>
      <c r="W18">
        <v>1</v>
      </c>
      <c r="X18">
        <v>0</v>
      </c>
      <c r="Y18">
        <v>0</v>
      </c>
      <c r="Z18">
        <v>0</v>
      </c>
      <c r="AA18">
        <v>0</v>
      </c>
      <c r="AC18">
        <v>6.6043000000000004E-2</v>
      </c>
      <c r="AE18">
        <v>1</v>
      </c>
      <c r="AF18">
        <v>4</v>
      </c>
      <c r="AH18">
        <v>0</v>
      </c>
      <c r="AJ18">
        <v>37</v>
      </c>
      <c r="AL18">
        <v>0</v>
      </c>
      <c r="AN18">
        <v>4</v>
      </c>
      <c r="AO18">
        <v>0</v>
      </c>
      <c r="AP18">
        <v>37</v>
      </c>
      <c r="AQ18">
        <v>0</v>
      </c>
      <c r="AR18">
        <v>4.0000000000000001E-3</v>
      </c>
      <c r="AS18">
        <v>2</v>
      </c>
      <c r="AU18">
        <v>2E-3</v>
      </c>
    </row>
    <row r="19" spans="1:48" x14ac:dyDescent="0.3">
      <c r="A19" t="s">
        <v>54</v>
      </c>
      <c r="B19">
        <v>1479.999951</v>
      </c>
      <c r="C19">
        <v>1.0355E-2</v>
      </c>
      <c r="D19">
        <v>766</v>
      </c>
      <c r="E19">
        <v>1833</v>
      </c>
      <c r="F19">
        <v>0</v>
      </c>
      <c r="G19">
        <v>0</v>
      </c>
      <c r="H19">
        <v>30001</v>
      </c>
      <c r="I19">
        <v>0</v>
      </c>
      <c r="J19">
        <v>0</v>
      </c>
      <c r="K19">
        <v>1</v>
      </c>
      <c r="L19">
        <v>30001</v>
      </c>
      <c r="M19">
        <v>1479.999951</v>
      </c>
      <c r="N19">
        <v>6.1908000000000005E-2</v>
      </c>
      <c r="P19">
        <v>1</v>
      </c>
      <c r="R19">
        <v>31480.999950000001</v>
      </c>
      <c r="S19">
        <v>31480.999950000001</v>
      </c>
      <c r="U19">
        <v>1</v>
      </c>
      <c r="V19">
        <v>1</v>
      </c>
      <c r="W19">
        <v>1</v>
      </c>
      <c r="X19">
        <v>0</v>
      </c>
      <c r="Y19">
        <v>0</v>
      </c>
      <c r="Z19">
        <v>0</v>
      </c>
      <c r="AA19">
        <v>0</v>
      </c>
      <c r="AC19">
        <v>5.1553000000000002E-2</v>
      </c>
      <c r="AE19">
        <v>1</v>
      </c>
      <c r="AF19">
        <v>2</v>
      </c>
      <c r="AH19">
        <v>0</v>
      </c>
      <c r="AJ19">
        <v>3</v>
      </c>
      <c r="AL19">
        <v>0</v>
      </c>
      <c r="AN19">
        <v>2</v>
      </c>
      <c r="AO19">
        <v>0</v>
      </c>
      <c r="AP19">
        <v>3</v>
      </c>
      <c r="AQ19">
        <v>0</v>
      </c>
      <c r="AR19">
        <v>3.0000000000000001E-3</v>
      </c>
      <c r="AS19">
        <v>2</v>
      </c>
      <c r="AU19">
        <v>1.5E-3</v>
      </c>
    </row>
    <row r="20" spans="1:48" x14ac:dyDescent="0.3">
      <c r="A20" t="s">
        <v>55</v>
      </c>
      <c r="B20">
        <v>1490.000063</v>
      </c>
      <c r="C20">
        <v>9.0690000000000007E-3</v>
      </c>
      <c r="D20">
        <v>455</v>
      </c>
      <c r="E20">
        <v>945</v>
      </c>
      <c r="F20">
        <v>0</v>
      </c>
      <c r="G20">
        <v>0</v>
      </c>
      <c r="H20">
        <v>20001</v>
      </c>
      <c r="I20">
        <v>0</v>
      </c>
      <c r="J20">
        <v>0</v>
      </c>
      <c r="K20">
        <v>1</v>
      </c>
      <c r="L20">
        <v>20001</v>
      </c>
      <c r="M20">
        <v>1490.000063</v>
      </c>
      <c r="N20">
        <v>0.19540399999999999</v>
      </c>
      <c r="P20">
        <v>1</v>
      </c>
      <c r="R20">
        <v>21491.000059999998</v>
      </c>
      <c r="S20">
        <v>21491.000059999998</v>
      </c>
      <c r="U20">
        <v>1</v>
      </c>
      <c r="V20">
        <v>1</v>
      </c>
      <c r="W20">
        <v>1</v>
      </c>
      <c r="X20">
        <v>0</v>
      </c>
      <c r="Y20">
        <v>0</v>
      </c>
      <c r="Z20">
        <v>0</v>
      </c>
      <c r="AA20">
        <v>0</v>
      </c>
      <c r="AC20">
        <v>0.186335</v>
      </c>
      <c r="AE20">
        <v>1</v>
      </c>
      <c r="AF20">
        <v>8</v>
      </c>
      <c r="AH20">
        <v>0</v>
      </c>
      <c r="AJ20">
        <v>15</v>
      </c>
      <c r="AL20">
        <v>0</v>
      </c>
      <c r="AN20">
        <v>8</v>
      </c>
      <c r="AO20">
        <v>0</v>
      </c>
      <c r="AP20">
        <v>15</v>
      </c>
      <c r="AQ20">
        <v>0</v>
      </c>
      <c r="AR20">
        <v>1.7000000000000001E-2</v>
      </c>
      <c r="AS20">
        <v>3</v>
      </c>
      <c r="AU20">
        <v>5.6670000000000002E-3</v>
      </c>
    </row>
    <row r="21" spans="1:48" x14ac:dyDescent="0.3">
      <c r="A21" t="s">
        <v>56</v>
      </c>
      <c r="B21">
        <v>1569.999965</v>
      </c>
      <c r="C21">
        <v>9.4039999999999992E-3</v>
      </c>
      <c r="D21">
        <v>1325</v>
      </c>
      <c r="E21">
        <v>3606</v>
      </c>
      <c r="F21">
        <v>0</v>
      </c>
      <c r="G21">
        <v>0</v>
      </c>
      <c r="H21">
        <v>30001</v>
      </c>
      <c r="I21">
        <v>0</v>
      </c>
      <c r="J21">
        <v>0</v>
      </c>
      <c r="K21">
        <v>1</v>
      </c>
      <c r="L21">
        <v>30001</v>
      </c>
      <c r="M21">
        <v>1569.999941</v>
      </c>
      <c r="N21">
        <v>5.4271E-2</v>
      </c>
      <c r="P21">
        <v>1</v>
      </c>
      <c r="R21">
        <v>31570.999940000002</v>
      </c>
      <c r="S21">
        <v>31570.999970000001</v>
      </c>
      <c r="U21">
        <v>1</v>
      </c>
      <c r="V21">
        <v>1</v>
      </c>
      <c r="W21">
        <v>1</v>
      </c>
      <c r="X21">
        <v>0</v>
      </c>
      <c r="Y21">
        <v>0</v>
      </c>
      <c r="Z21">
        <v>0</v>
      </c>
      <c r="AA21">
        <v>0</v>
      </c>
      <c r="AC21">
        <v>4.4866999999999997E-2</v>
      </c>
      <c r="AE21">
        <v>1</v>
      </c>
      <c r="AF21">
        <v>3</v>
      </c>
      <c r="AH21">
        <v>0</v>
      </c>
      <c r="AJ21">
        <v>0</v>
      </c>
      <c r="AL21">
        <v>0</v>
      </c>
      <c r="AN21">
        <v>3</v>
      </c>
      <c r="AO21">
        <v>0</v>
      </c>
      <c r="AP21">
        <v>0</v>
      </c>
      <c r="AQ21">
        <v>0</v>
      </c>
      <c r="AR21">
        <v>2E-3</v>
      </c>
      <c r="AS21">
        <v>2</v>
      </c>
      <c r="AU21">
        <v>1E-3</v>
      </c>
    </row>
    <row r="22" spans="1:48" x14ac:dyDescent="0.3">
      <c r="A22" t="s">
        <v>57</v>
      </c>
      <c r="B22">
        <v>1630.0000190000001</v>
      </c>
      <c r="C22">
        <v>1.1790999999999999E-2</v>
      </c>
      <c r="D22">
        <v>2267</v>
      </c>
      <c r="E22">
        <v>7086</v>
      </c>
      <c r="F22">
        <v>1E-3</v>
      </c>
      <c r="G22">
        <v>0</v>
      </c>
      <c r="H22">
        <v>20003</v>
      </c>
      <c r="I22">
        <v>0</v>
      </c>
      <c r="J22">
        <v>0</v>
      </c>
      <c r="K22">
        <v>1</v>
      </c>
      <c r="L22">
        <v>20003</v>
      </c>
      <c r="M22">
        <v>1630.0000190000001</v>
      </c>
      <c r="N22">
        <v>6.8075999999999998E-2</v>
      </c>
      <c r="P22">
        <v>1</v>
      </c>
      <c r="R22">
        <v>21633.000019999999</v>
      </c>
      <c r="S22">
        <v>21633.000019999999</v>
      </c>
      <c r="U22">
        <v>1</v>
      </c>
      <c r="V22">
        <v>1</v>
      </c>
      <c r="W22">
        <v>1</v>
      </c>
      <c r="X22">
        <v>0</v>
      </c>
      <c r="Y22">
        <v>0</v>
      </c>
      <c r="Z22">
        <v>0</v>
      </c>
      <c r="AA22">
        <v>0</v>
      </c>
      <c r="AC22">
        <v>5.5285000000000001E-2</v>
      </c>
      <c r="AE22">
        <v>1</v>
      </c>
      <c r="AF22">
        <v>0</v>
      </c>
      <c r="AH22">
        <v>0</v>
      </c>
      <c r="AJ22">
        <v>0</v>
      </c>
      <c r="AL22">
        <v>0</v>
      </c>
      <c r="AN22">
        <v>0</v>
      </c>
      <c r="AO22">
        <v>0</v>
      </c>
      <c r="AP22">
        <v>0</v>
      </c>
      <c r="AQ22">
        <v>0</v>
      </c>
      <c r="AR22">
        <v>4.0000000000000001E-3</v>
      </c>
      <c r="AS22">
        <v>2</v>
      </c>
      <c r="AU22">
        <v>2E-3</v>
      </c>
    </row>
    <row r="23" spans="1:48" x14ac:dyDescent="0.3">
      <c r="A23" t="s">
        <v>58</v>
      </c>
      <c r="B23">
        <v>1469.9999150000001</v>
      </c>
      <c r="C23">
        <v>8.8319999999999996E-3</v>
      </c>
      <c r="D23">
        <v>757</v>
      </c>
      <c r="E23">
        <v>1832</v>
      </c>
      <c r="F23">
        <v>0</v>
      </c>
      <c r="G23">
        <v>0</v>
      </c>
      <c r="H23">
        <v>20001</v>
      </c>
      <c r="I23">
        <v>0</v>
      </c>
      <c r="J23">
        <v>0</v>
      </c>
      <c r="K23">
        <v>1</v>
      </c>
      <c r="L23">
        <v>20001</v>
      </c>
      <c r="M23">
        <v>1469.9999150000001</v>
      </c>
      <c r="N23">
        <v>8.1313999999999997E-2</v>
      </c>
      <c r="P23">
        <v>1</v>
      </c>
      <c r="R23">
        <v>21470.999919999998</v>
      </c>
      <c r="S23">
        <v>21470.999919999998</v>
      </c>
      <c r="U23">
        <v>1</v>
      </c>
      <c r="V23">
        <v>1</v>
      </c>
      <c r="W23">
        <v>1</v>
      </c>
      <c r="X23">
        <v>0</v>
      </c>
      <c r="Y23">
        <v>0</v>
      </c>
      <c r="Z23">
        <v>0</v>
      </c>
      <c r="AA23">
        <v>0</v>
      </c>
      <c r="AC23">
        <v>7.2482000000000005E-2</v>
      </c>
      <c r="AE23">
        <v>1</v>
      </c>
      <c r="AF23">
        <v>0</v>
      </c>
      <c r="AH23">
        <v>0</v>
      </c>
      <c r="AJ23">
        <v>8</v>
      </c>
      <c r="AL23">
        <v>0</v>
      </c>
      <c r="AN23">
        <v>0</v>
      </c>
      <c r="AO23">
        <v>0</v>
      </c>
      <c r="AP23">
        <v>8</v>
      </c>
      <c r="AQ23">
        <v>0</v>
      </c>
      <c r="AR23">
        <v>1.4E-2</v>
      </c>
      <c r="AS23">
        <v>2</v>
      </c>
      <c r="AU23">
        <v>7.0000000000000001E-3</v>
      </c>
    </row>
    <row r="24" spans="1:48" x14ac:dyDescent="0.3">
      <c r="A24" t="s">
        <v>59</v>
      </c>
      <c r="B24">
        <v>1630.0000190000001</v>
      </c>
      <c r="C24">
        <v>1.2123999999999999E-2</v>
      </c>
      <c r="D24">
        <v>957</v>
      </c>
      <c r="E24">
        <v>2290</v>
      </c>
      <c r="F24">
        <v>0</v>
      </c>
      <c r="G24">
        <v>0</v>
      </c>
      <c r="H24">
        <v>20001</v>
      </c>
      <c r="I24">
        <v>0</v>
      </c>
      <c r="J24">
        <v>0</v>
      </c>
      <c r="K24">
        <v>1</v>
      </c>
      <c r="L24">
        <v>20001</v>
      </c>
      <c r="M24">
        <v>1630.0000190000001</v>
      </c>
      <c r="N24">
        <v>7.6694999999999999E-2</v>
      </c>
      <c r="P24">
        <v>1</v>
      </c>
      <c r="R24">
        <v>21631.000019999999</v>
      </c>
      <c r="S24">
        <v>21631.000019999999</v>
      </c>
      <c r="U24">
        <v>1</v>
      </c>
      <c r="V24">
        <v>1</v>
      </c>
      <c r="W24">
        <v>1</v>
      </c>
      <c r="X24">
        <v>0</v>
      </c>
      <c r="Y24">
        <v>0</v>
      </c>
      <c r="Z24">
        <v>0</v>
      </c>
      <c r="AA24">
        <v>0</v>
      </c>
      <c r="AC24">
        <v>6.4571000000000003E-2</v>
      </c>
      <c r="AE24">
        <v>1</v>
      </c>
      <c r="AF24">
        <v>3</v>
      </c>
      <c r="AH24">
        <v>0</v>
      </c>
      <c r="AJ24">
        <v>0</v>
      </c>
      <c r="AL24">
        <v>0</v>
      </c>
      <c r="AN24">
        <v>3</v>
      </c>
      <c r="AO24">
        <v>0</v>
      </c>
      <c r="AP24">
        <v>0</v>
      </c>
      <c r="AQ24">
        <v>0</v>
      </c>
      <c r="AR24">
        <v>1.6E-2</v>
      </c>
      <c r="AS24">
        <v>3</v>
      </c>
      <c r="AU24">
        <v>5.3330000000000001E-3</v>
      </c>
    </row>
    <row r="25" spans="1:48" x14ac:dyDescent="0.3">
      <c r="A25" t="s">
        <v>60</v>
      </c>
      <c r="B25">
        <v>1490.000063</v>
      </c>
      <c r="C25">
        <v>9.8169999999999993E-3</v>
      </c>
      <c r="D25">
        <v>1325</v>
      </c>
      <c r="E25">
        <v>3606</v>
      </c>
      <c r="F25">
        <v>1E-3</v>
      </c>
      <c r="G25">
        <v>0</v>
      </c>
      <c r="H25">
        <v>30001</v>
      </c>
      <c r="I25">
        <v>0</v>
      </c>
      <c r="J25">
        <v>0</v>
      </c>
      <c r="K25">
        <v>1</v>
      </c>
      <c r="L25">
        <v>30001</v>
      </c>
      <c r="M25">
        <v>1490.000063</v>
      </c>
      <c r="N25">
        <v>6.4694000000000002E-2</v>
      </c>
      <c r="P25">
        <v>1</v>
      </c>
      <c r="R25">
        <v>31491.000059999998</v>
      </c>
      <c r="S25">
        <v>31491.000059999998</v>
      </c>
      <c r="U25">
        <v>1</v>
      </c>
      <c r="V25">
        <v>1</v>
      </c>
      <c r="W25">
        <v>1</v>
      </c>
      <c r="X25">
        <v>0</v>
      </c>
      <c r="Y25">
        <v>0</v>
      </c>
      <c r="Z25">
        <v>0</v>
      </c>
      <c r="AA25">
        <v>0</v>
      </c>
      <c r="AC25">
        <v>5.3877000000000001E-2</v>
      </c>
      <c r="AE25">
        <v>1</v>
      </c>
      <c r="AF25">
        <v>0</v>
      </c>
      <c r="AH25">
        <v>0</v>
      </c>
      <c r="AJ25">
        <v>3</v>
      </c>
      <c r="AL25">
        <v>0</v>
      </c>
      <c r="AN25">
        <v>0</v>
      </c>
      <c r="AO25">
        <v>0</v>
      </c>
      <c r="AP25">
        <v>3</v>
      </c>
      <c r="AQ25">
        <v>0</v>
      </c>
      <c r="AR25">
        <v>7.0000000000000001E-3</v>
      </c>
      <c r="AS25">
        <v>3</v>
      </c>
      <c r="AU25">
        <v>2.333E-3</v>
      </c>
    </row>
    <row r="26" spans="1:48" x14ac:dyDescent="0.3">
      <c r="A26" t="s">
        <v>61</v>
      </c>
      <c r="B26">
        <v>1630.0000190000001</v>
      </c>
      <c r="C26">
        <v>1.1906999999999999E-2</v>
      </c>
      <c r="D26">
        <v>1803</v>
      </c>
      <c r="E26">
        <v>5366</v>
      </c>
      <c r="F26">
        <v>1E-3</v>
      </c>
      <c r="G26">
        <v>0</v>
      </c>
      <c r="H26">
        <v>20003</v>
      </c>
      <c r="I26">
        <v>0</v>
      </c>
      <c r="J26">
        <v>0</v>
      </c>
      <c r="K26">
        <v>1</v>
      </c>
      <c r="L26">
        <v>20003</v>
      </c>
      <c r="M26">
        <v>1630.0000190000001</v>
      </c>
      <c r="N26">
        <v>0.22684100000000001</v>
      </c>
      <c r="P26">
        <v>1</v>
      </c>
      <c r="R26">
        <v>21633.000019999999</v>
      </c>
      <c r="S26">
        <v>21633.000019999999</v>
      </c>
      <c r="U26">
        <v>1</v>
      </c>
      <c r="V26">
        <v>1</v>
      </c>
      <c r="W26">
        <v>1</v>
      </c>
      <c r="X26">
        <v>0</v>
      </c>
      <c r="Y26">
        <v>0</v>
      </c>
      <c r="Z26">
        <v>0</v>
      </c>
      <c r="AA26">
        <v>0</v>
      </c>
      <c r="AC26">
        <v>0.21393400000000001</v>
      </c>
      <c r="AE26">
        <v>1</v>
      </c>
      <c r="AF26">
        <v>14</v>
      </c>
      <c r="AH26">
        <v>0</v>
      </c>
      <c r="AJ26">
        <v>8</v>
      </c>
      <c r="AL26">
        <v>0</v>
      </c>
      <c r="AN26">
        <v>14</v>
      </c>
      <c r="AO26">
        <v>0</v>
      </c>
      <c r="AP26">
        <v>8</v>
      </c>
      <c r="AQ26">
        <v>0</v>
      </c>
      <c r="AR26">
        <v>3.6999999999999998E-2</v>
      </c>
      <c r="AS26">
        <v>4</v>
      </c>
      <c r="AU26">
        <v>9.2499999999999995E-3</v>
      </c>
    </row>
    <row r="27" spans="1:48" x14ac:dyDescent="0.3">
      <c r="A27" t="s">
        <v>62</v>
      </c>
      <c r="B27">
        <v>1489.9998949999999</v>
      </c>
      <c r="C27">
        <v>9.4739999999999998E-3</v>
      </c>
      <c r="D27">
        <v>881</v>
      </c>
      <c r="E27">
        <v>2072</v>
      </c>
      <c r="F27">
        <v>0</v>
      </c>
      <c r="G27">
        <v>0</v>
      </c>
      <c r="H27">
        <v>20001</v>
      </c>
      <c r="I27">
        <v>0</v>
      </c>
      <c r="J27">
        <v>0</v>
      </c>
      <c r="K27">
        <v>1</v>
      </c>
      <c r="L27">
        <v>20001</v>
      </c>
      <c r="M27">
        <v>1489.9998949999999</v>
      </c>
      <c r="N27">
        <v>6.7963999999999997E-2</v>
      </c>
      <c r="P27">
        <v>1</v>
      </c>
      <c r="R27">
        <v>21490.999899999999</v>
      </c>
      <c r="S27">
        <v>21490.999899999999</v>
      </c>
      <c r="U27">
        <v>1</v>
      </c>
      <c r="V27">
        <v>1</v>
      </c>
      <c r="W27">
        <v>1</v>
      </c>
      <c r="X27">
        <v>0</v>
      </c>
      <c r="Y27">
        <v>0</v>
      </c>
      <c r="Z27">
        <v>0</v>
      </c>
      <c r="AA27">
        <v>0</v>
      </c>
      <c r="AC27">
        <v>5.849E-2</v>
      </c>
      <c r="AE27">
        <v>1</v>
      </c>
      <c r="AF27">
        <v>2</v>
      </c>
      <c r="AH27">
        <v>0</v>
      </c>
      <c r="AJ27">
        <v>8</v>
      </c>
      <c r="AL27">
        <v>0</v>
      </c>
      <c r="AN27">
        <v>2</v>
      </c>
      <c r="AO27">
        <v>0</v>
      </c>
      <c r="AP27">
        <v>8</v>
      </c>
      <c r="AQ27">
        <v>0</v>
      </c>
      <c r="AR27">
        <v>6.0000000000000001E-3</v>
      </c>
      <c r="AS27">
        <v>3</v>
      </c>
      <c r="AU27">
        <v>2E-3</v>
      </c>
    </row>
    <row r="28" spans="1:48" x14ac:dyDescent="0.3">
      <c r="A28" t="s">
        <v>63</v>
      </c>
      <c r="B28">
        <v>1600.0001010000001</v>
      </c>
      <c r="C28">
        <v>9.0860000000000003E-3</v>
      </c>
      <c r="D28">
        <v>2197</v>
      </c>
      <c r="E28">
        <v>6806</v>
      </c>
      <c r="F28">
        <v>1E-3</v>
      </c>
      <c r="G28">
        <v>0</v>
      </c>
      <c r="H28">
        <v>20003</v>
      </c>
      <c r="I28">
        <v>0</v>
      </c>
      <c r="J28">
        <v>0</v>
      </c>
      <c r="K28">
        <v>1</v>
      </c>
      <c r="L28">
        <v>20003</v>
      </c>
      <c r="M28">
        <v>1600.0001010000001</v>
      </c>
      <c r="N28">
        <v>0.17014100000000001</v>
      </c>
      <c r="P28">
        <v>1</v>
      </c>
      <c r="R28">
        <v>21603.000100000001</v>
      </c>
      <c r="S28">
        <v>21603.000100000001</v>
      </c>
      <c r="U28">
        <v>1</v>
      </c>
      <c r="V28">
        <v>1</v>
      </c>
      <c r="W28">
        <v>1</v>
      </c>
      <c r="X28">
        <v>0</v>
      </c>
      <c r="Y28">
        <v>0</v>
      </c>
      <c r="Z28">
        <v>0</v>
      </c>
      <c r="AA28">
        <v>0</v>
      </c>
      <c r="AC28">
        <v>0.160055</v>
      </c>
      <c r="AE28">
        <v>1</v>
      </c>
      <c r="AF28">
        <v>5</v>
      </c>
      <c r="AH28">
        <v>0</v>
      </c>
      <c r="AJ28">
        <v>11</v>
      </c>
      <c r="AL28">
        <v>0</v>
      </c>
      <c r="AN28">
        <v>5</v>
      </c>
      <c r="AO28">
        <v>0</v>
      </c>
      <c r="AP28">
        <v>11</v>
      </c>
      <c r="AQ28">
        <v>0</v>
      </c>
      <c r="AR28">
        <v>6.0000000000000001E-3</v>
      </c>
      <c r="AS28">
        <v>3</v>
      </c>
      <c r="AU28">
        <v>2E-3</v>
      </c>
    </row>
    <row r="29" spans="1:48" x14ac:dyDescent="0.3">
      <c r="A29" t="s">
        <v>64</v>
      </c>
      <c r="B29">
        <v>1490.00001</v>
      </c>
      <c r="C29">
        <v>9.4579999999999994E-3</v>
      </c>
      <c r="D29">
        <v>1677</v>
      </c>
      <c r="E29">
        <v>4824</v>
      </c>
      <c r="F29">
        <v>1E-3</v>
      </c>
      <c r="G29">
        <v>0</v>
      </c>
      <c r="H29">
        <v>20002</v>
      </c>
      <c r="I29">
        <v>0</v>
      </c>
      <c r="J29">
        <v>0</v>
      </c>
      <c r="K29">
        <v>1</v>
      </c>
      <c r="L29">
        <v>20002</v>
      </c>
      <c r="M29">
        <v>1490.00001</v>
      </c>
      <c r="N29">
        <v>7.5029999999999999E-2</v>
      </c>
      <c r="P29">
        <v>1</v>
      </c>
      <c r="R29">
        <v>21492.00001</v>
      </c>
      <c r="S29">
        <v>21492.00001</v>
      </c>
      <c r="U29">
        <v>1</v>
      </c>
      <c r="V29">
        <v>1</v>
      </c>
      <c r="W29">
        <v>1</v>
      </c>
      <c r="X29">
        <v>0</v>
      </c>
      <c r="Y29">
        <v>0</v>
      </c>
      <c r="Z29">
        <v>0</v>
      </c>
      <c r="AA29">
        <v>0</v>
      </c>
      <c r="AC29">
        <v>6.4572000000000004E-2</v>
      </c>
      <c r="AE29">
        <v>1</v>
      </c>
      <c r="AF29">
        <v>4</v>
      </c>
      <c r="AH29">
        <v>0</v>
      </c>
      <c r="AJ29">
        <v>17</v>
      </c>
      <c r="AL29">
        <v>0</v>
      </c>
      <c r="AN29">
        <v>4</v>
      </c>
      <c r="AO29">
        <v>0</v>
      </c>
      <c r="AP29">
        <v>17</v>
      </c>
      <c r="AQ29">
        <v>0</v>
      </c>
      <c r="AR29">
        <v>3.0000000000000001E-3</v>
      </c>
      <c r="AS29">
        <v>2</v>
      </c>
      <c r="AU29">
        <v>1.5E-3</v>
      </c>
    </row>
    <row r="30" spans="1:48" x14ac:dyDescent="0.3">
      <c r="A30" t="s">
        <v>65</v>
      </c>
      <c r="B30">
        <v>1600.0001010000001</v>
      </c>
      <c r="C30">
        <v>1.0178E-2</v>
      </c>
      <c r="D30">
        <v>380</v>
      </c>
      <c r="E30">
        <v>802</v>
      </c>
      <c r="F30">
        <v>0</v>
      </c>
      <c r="G30">
        <v>0</v>
      </c>
      <c r="H30">
        <v>20001</v>
      </c>
      <c r="I30">
        <v>0</v>
      </c>
      <c r="J30">
        <v>0</v>
      </c>
      <c r="K30">
        <v>1</v>
      </c>
      <c r="L30">
        <v>20001</v>
      </c>
      <c r="M30">
        <v>1600.0001010000001</v>
      </c>
      <c r="N30">
        <v>0.108899</v>
      </c>
      <c r="P30">
        <v>1</v>
      </c>
      <c r="R30">
        <v>21601.000100000001</v>
      </c>
      <c r="S30">
        <v>21601.000100000001</v>
      </c>
      <c r="U30">
        <v>1</v>
      </c>
      <c r="V30">
        <v>1</v>
      </c>
      <c r="W30">
        <v>1</v>
      </c>
      <c r="X30">
        <v>0</v>
      </c>
      <c r="Y30">
        <v>0</v>
      </c>
      <c r="Z30">
        <v>0</v>
      </c>
      <c r="AA30">
        <v>0</v>
      </c>
      <c r="AC30">
        <v>9.8721000000000003E-2</v>
      </c>
      <c r="AE30">
        <v>1</v>
      </c>
      <c r="AF30">
        <v>7</v>
      </c>
      <c r="AH30">
        <v>0</v>
      </c>
      <c r="AJ30">
        <v>11</v>
      </c>
      <c r="AL30">
        <v>3</v>
      </c>
      <c r="AN30">
        <v>7</v>
      </c>
      <c r="AO30">
        <v>0</v>
      </c>
      <c r="AP30">
        <v>11</v>
      </c>
      <c r="AQ30">
        <v>3</v>
      </c>
      <c r="AR30">
        <v>2.1000000000000001E-2</v>
      </c>
      <c r="AS30">
        <v>5</v>
      </c>
      <c r="AU30">
        <v>4.1999999999999997E-3</v>
      </c>
    </row>
    <row r="31" spans="1:48" s="1" customFormat="1" x14ac:dyDescent="0.3">
      <c r="A31" s="1" t="s">
        <v>66</v>
      </c>
      <c r="B31" s="1">
        <v>1479.999951</v>
      </c>
      <c r="C31" s="1">
        <v>1.0827E-2</v>
      </c>
      <c r="D31" s="1">
        <v>1580</v>
      </c>
      <c r="E31" s="1">
        <v>4519</v>
      </c>
      <c r="F31" s="1">
        <v>1E-3</v>
      </c>
      <c r="G31" s="1">
        <v>0</v>
      </c>
      <c r="H31" s="1">
        <v>20002</v>
      </c>
      <c r="I31" s="1">
        <v>0</v>
      </c>
      <c r="J31" s="1">
        <v>0</v>
      </c>
      <c r="K31" s="1">
        <v>1</v>
      </c>
      <c r="L31" s="1">
        <v>20002</v>
      </c>
      <c r="M31" s="1">
        <v>1479.999951</v>
      </c>
      <c r="N31" s="1">
        <v>6.6467999999999999E-2</v>
      </c>
      <c r="P31" s="1">
        <v>1</v>
      </c>
      <c r="R31" s="1">
        <v>21481.999950000001</v>
      </c>
      <c r="S31" s="1">
        <v>21481.999950000001</v>
      </c>
      <c r="U31" s="1">
        <v>1</v>
      </c>
      <c r="V31" s="1">
        <v>1</v>
      </c>
      <c r="W31" s="1">
        <v>1</v>
      </c>
      <c r="X31" s="1">
        <v>0</v>
      </c>
      <c r="Y31" s="1">
        <v>0</v>
      </c>
      <c r="Z31" s="1">
        <v>0</v>
      </c>
      <c r="AA31" s="1">
        <v>0</v>
      </c>
      <c r="AC31" s="1">
        <v>5.4641000000000002E-2</v>
      </c>
      <c r="AE31" s="1">
        <v>1</v>
      </c>
      <c r="AF31" s="1">
        <v>8</v>
      </c>
      <c r="AH31" s="1">
        <v>0</v>
      </c>
      <c r="AJ31" s="1">
        <v>26</v>
      </c>
      <c r="AL31" s="1">
        <v>0</v>
      </c>
      <c r="AN31" s="1">
        <v>8</v>
      </c>
      <c r="AO31" s="1">
        <v>0</v>
      </c>
      <c r="AP31" s="1">
        <v>26</v>
      </c>
      <c r="AQ31" s="1">
        <v>0</v>
      </c>
      <c r="AR31" s="1">
        <v>1E-3</v>
      </c>
      <c r="AS31" s="1">
        <v>1</v>
      </c>
      <c r="AU31" s="1">
        <v>1E-3</v>
      </c>
    </row>
    <row r="32" spans="1:48" x14ac:dyDescent="0.3">
      <c r="A32" t="s">
        <v>67</v>
      </c>
      <c r="B32">
        <v>3039.9996310000001</v>
      </c>
      <c r="C32">
        <v>2.1219999999999999E-2</v>
      </c>
      <c r="D32">
        <v>28296</v>
      </c>
      <c r="E32">
        <v>98165</v>
      </c>
      <c r="F32">
        <v>2.7E-2</v>
      </c>
      <c r="G32">
        <v>6.0000000000000001E-3</v>
      </c>
      <c r="H32">
        <v>40001</v>
      </c>
      <c r="I32">
        <v>0</v>
      </c>
      <c r="J32">
        <v>0</v>
      </c>
      <c r="K32">
        <v>1</v>
      </c>
      <c r="L32">
        <v>40001</v>
      </c>
      <c r="M32">
        <v>3039.9996059999999</v>
      </c>
      <c r="N32">
        <v>0.7344710000000001</v>
      </c>
      <c r="O32">
        <v>1.2305431666666666</v>
      </c>
      <c r="P32">
        <v>1</v>
      </c>
      <c r="Q32">
        <f>AVERAGE(P32:P61)</f>
        <v>1</v>
      </c>
      <c r="R32">
        <v>43040.999609999999</v>
      </c>
      <c r="S32">
        <v>43040.999629999998</v>
      </c>
      <c r="T32">
        <f>SUM(U32:U61)</f>
        <v>30</v>
      </c>
      <c r="U32">
        <v>1</v>
      </c>
      <c r="V32">
        <v>1</v>
      </c>
      <c r="W32">
        <v>1</v>
      </c>
      <c r="X32">
        <v>0</v>
      </c>
      <c r="Y32">
        <v>0</v>
      </c>
      <c r="Z32">
        <v>0</v>
      </c>
      <c r="AA32">
        <v>6.0000000000000001E-3</v>
      </c>
      <c r="AB32">
        <f>AVERAGE(AA32:AA61)</f>
        <v>6.5000000000000006E-3</v>
      </c>
      <c r="AC32">
        <v>0.68025100000000005</v>
      </c>
      <c r="AD32">
        <f>AVERAGE(AC32:AC61)</f>
        <v>1.1727074</v>
      </c>
      <c r="AE32">
        <v>1</v>
      </c>
      <c r="AF32">
        <v>110</v>
      </c>
      <c r="AG32">
        <f>AVERAGE(AF32:AF61)</f>
        <v>337.43333333333334</v>
      </c>
      <c r="AH32">
        <v>0</v>
      </c>
      <c r="AI32">
        <f>AVERAGE(AH32:AH61)</f>
        <v>0</v>
      </c>
      <c r="AJ32">
        <v>134</v>
      </c>
      <c r="AK32">
        <f>AVERAGE(AJ32:AJ61)</f>
        <v>51.166666666666664</v>
      </c>
      <c r="AL32">
        <v>1</v>
      </c>
      <c r="AM32">
        <f>AVERAGE(AL32:AL61)</f>
        <v>3.3666666666666667</v>
      </c>
      <c r="AN32">
        <v>110</v>
      </c>
      <c r="AO32">
        <v>0</v>
      </c>
      <c r="AP32">
        <v>134</v>
      </c>
      <c r="AQ32">
        <v>1</v>
      </c>
      <c r="AR32">
        <v>5.8000000000000003E-2</v>
      </c>
      <c r="AS32">
        <v>2</v>
      </c>
      <c r="AT32">
        <f>AVERAGE(AS32:AS61)</f>
        <v>4.5666666666666664</v>
      </c>
      <c r="AU32">
        <v>2.9000000000000001E-2</v>
      </c>
      <c r="AV32">
        <f>AVERAGE(AU32:AU61)</f>
        <v>4.9005466666666671E-2</v>
      </c>
    </row>
    <row r="33" spans="1:47" x14ac:dyDescent="0.3">
      <c r="A33" t="s">
        <v>68</v>
      </c>
      <c r="B33">
        <v>3019.999945</v>
      </c>
      <c r="C33">
        <v>1.8626E-2</v>
      </c>
      <c r="D33">
        <v>15507</v>
      </c>
      <c r="E33">
        <v>46641</v>
      </c>
      <c r="F33">
        <v>1.2E-2</v>
      </c>
      <c r="G33">
        <v>2E-3</v>
      </c>
      <c r="H33">
        <v>40001</v>
      </c>
      <c r="I33">
        <v>0</v>
      </c>
      <c r="J33">
        <v>0</v>
      </c>
      <c r="K33">
        <v>1</v>
      </c>
      <c r="L33">
        <v>40001</v>
      </c>
      <c r="M33">
        <v>3019.999945</v>
      </c>
      <c r="N33">
        <v>1.2013940000000001</v>
      </c>
      <c r="P33">
        <v>1</v>
      </c>
      <c r="R33">
        <v>43020.999949999998</v>
      </c>
      <c r="S33">
        <v>43020.999949999998</v>
      </c>
      <c r="U33">
        <v>1</v>
      </c>
      <c r="V33">
        <v>1</v>
      </c>
      <c r="W33">
        <v>1</v>
      </c>
      <c r="X33">
        <v>0</v>
      </c>
      <c r="Y33">
        <v>0</v>
      </c>
      <c r="Z33">
        <v>0</v>
      </c>
      <c r="AA33">
        <v>2E-3</v>
      </c>
      <c r="AC33">
        <v>1.168768</v>
      </c>
      <c r="AE33">
        <v>1</v>
      </c>
      <c r="AF33">
        <v>151</v>
      </c>
      <c r="AH33">
        <v>0</v>
      </c>
      <c r="AJ33">
        <v>14</v>
      </c>
      <c r="AL33">
        <v>9</v>
      </c>
      <c r="AN33">
        <v>151</v>
      </c>
      <c r="AO33">
        <v>0</v>
      </c>
      <c r="AP33">
        <v>14</v>
      </c>
      <c r="AQ33">
        <v>9</v>
      </c>
      <c r="AR33">
        <v>0.39700000000000002</v>
      </c>
      <c r="AS33">
        <v>10</v>
      </c>
      <c r="AU33">
        <v>3.9699999999999999E-2</v>
      </c>
    </row>
    <row r="34" spans="1:47" x14ac:dyDescent="0.3">
      <c r="A34" t="s">
        <v>69</v>
      </c>
      <c r="B34">
        <v>3220.0001419999999</v>
      </c>
      <c r="C34">
        <v>1.7465999999999999E-2</v>
      </c>
      <c r="D34">
        <v>27338</v>
      </c>
      <c r="E34">
        <v>94019</v>
      </c>
      <c r="F34">
        <v>2.5999999999999999E-2</v>
      </c>
      <c r="G34">
        <v>5.0000000000000001E-3</v>
      </c>
      <c r="H34">
        <v>50001</v>
      </c>
      <c r="I34">
        <v>0</v>
      </c>
      <c r="J34">
        <v>0</v>
      </c>
      <c r="K34">
        <v>1</v>
      </c>
      <c r="L34">
        <v>50001</v>
      </c>
      <c r="M34">
        <v>3220.0001419999999</v>
      </c>
      <c r="N34">
        <v>1.0909289999999998</v>
      </c>
      <c r="P34">
        <v>1</v>
      </c>
      <c r="R34">
        <v>53221.000139999996</v>
      </c>
      <c r="S34">
        <v>53221.000139999996</v>
      </c>
      <c r="U34">
        <v>1</v>
      </c>
      <c r="V34">
        <v>1</v>
      </c>
      <c r="W34">
        <v>1</v>
      </c>
      <c r="X34">
        <v>0</v>
      </c>
      <c r="Y34">
        <v>0</v>
      </c>
      <c r="Z34">
        <v>0</v>
      </c>
      <c r="AA34">
        <v>5.0000000000000001E-3</v>
      </c>
      <c r="AC34">
        <v>1.0424629999999999</v>
      </c>
      <c r="AE34">
        <v>1</v>
      </c>
      <c r="AF34">
        <v>100</v>
      </c>
      <c r="AH34">
        <v>0</v>
      </c>
      <c r="AJ34">
        <v>36</v>
      </c>
      <c r="AL34">
        <v>1</v>
      </c>
      <c r="AN34">
        <v>100</v>
      </c>
      <c r="AO34">
        <v>0</v>
      </c>
      <c r="AP34">
        <v>36</v>
      </c>
      <c r="AQ34">
        <v>1</v>
      </c>
      <c r="AR34">
        <v>0.224</v>
      </c>
      <c r="AS34">
        <v>2</v>
      </c>
      <c r="AU34">
        <v>0.112</v>
      </c>
    </row>
    <row r="35" spans="1:47" x14ac:dyDescent="0.3">
      <c r="A35" t="s">
        <v>70</v>
      </c>
      <c r="B35">
        <v>3119.9998260000002</v>
      </c>
      <c r="C35">
        <v>1.6372999999999999E-2</v>
      </c>
      <c r="D35">
        <v>25872</v>
      </c>
      <c r="E35">
        <v>89943</v>
      </c>
      <c r="F35">
        <v>2.5000000000000001E-2</v>
      </c>
      <c r="G35">
        <v>5.0000000000000001E-3</v>
      </c>
      <c r="H35">
        <v>40001</v>
      </c>
      <c r="I35">
        <v>0</v>
      </c>
      <c r="J35">
        <v>0</v>
      </c>
      <c r="K35">
        <v>1</v>
      </c>
      <c r="L35">
        <v>40001</v>
      </c>
      <c r="M35">
        <v>3119.9998260000002</v>
      </c>
      <c r="N35">
        <v>1.8758630000000001</v>
      </c>
      <c r="P35">
        <v>1</v>
      </c>
      <c r="R35">
        <v>43120.999830000001</v>
      </c>
      <c r="S35">
        <v>43120.999830000001</v>
      </c>
      <c r="U35">
        <v>1</v>
      </c>
      <c r="V35">
        <v>1</v>
      </c>
      <c r="W35">
        <v>1</v>
      </c>
      <c r="X35">
        <v>0</v>
      </c>
      <c r="Y35">
        <v>0</v>
      </c>
      <c r="Z35">
        <v>0</v>
      </c>
      <c r="AA35">
        <v>5.0000000000000001E-3</v>
      </c>
      <c r="AC35">
        <v>1.8294900000000001</v>
      </c>
      <c r="AE35">
        <v>1</v>
      </c>
      <c r="AF35">
        <v>89</v>
      </c>
      <c r="AH35">
        <v>0</v>
      </c>
      <c r="AJ35">
        <v>128</v>
      </c>
      <c r="AL35">
        <v>4</v>
      </c>
      <c r="AN35">
        <v>89</v>
      </c>
      <c r="AO35">
        <v>0</v>
      </c>
      <c r="AP35">
        <v>128</v>
      </c>
      <c r="AQ35">
        <v>4</v>
      </c>
      <c r="AR35">
        <v>0.35299999999999998</v>
      </c>
      <c r="AS35">
        <v>6</v>
      </c>
      <c r="AU35">
        <v>5.8833000000000003E-2</v>
      </c>
    </row>
    <row r="36" spans="1:47" x14ac:dyDescent="0.3">
      <c r="A36" t="s">
        <v>71</v>
      </c>
      <c r="B36">
        <v>3279.9994409999999</v>
      </c>
      <c r="C36">
        <v>1.9768999999999998E-2</v>
      </c>
      <c r="D36">
        <v>20566</v>
      </c>
      <c r="E36">
        <v>68371</v>
      </c>
      <c r="F36">
        <v>1.9E-2</v>
      </c>
      <c r="G36">
        <v>3.0000000000000001E-3</v>
      </c>
      <c r="H36">
        <v>50001</v>
      </c>
      <c r="I36">
        <v>0</v>
      </c>
      <c r="J36">
        <v>0</v>
      </c>
      <c r="K36">
        <v>1</v>
      </c>
      <c r="L36">
        <v>50001</v>
      </c>
      <c r="M36">
        <v>3279.99944</v>
      </c>
      <c r="N36">
        <v>0.46804699999999999</v>
      </c>
      <c r="P36">
        <v>1</v>
      </c>
      <c r="R36">
        <v>53280.99944</v>
      </c>
      <c r="S36">
        <v>53280.99944</v>
      </c>
      <c r="U36">
        <v>1</v>
      </c>
      <c r="V36">
        <v>1</v>
      </c>
      <c r="W36">
        <v>1</v>
      </c>
      <c r="X36">
        <v>0</v>
      </c>
      <c r="Y36">
        <v>0</v>
      </c>
      <c r="Z36">
        <v>0</v>
      </c>
      <c r="AA36">
        <v>3.0000000000000001E-3</v>
      </c>
      <c r="AC36">
        <v>0.42627799999999999</v>
      </c>
      <c r="AE36">
        <v>1</v>
      </c>
      <c r="AF36">
        <v>72</v>
      </c>
      <c r="AH36">
        <v>0</v>
      </c>
      <c r="AJ36">
        <v>5</v>
      </c>
      <c r="AL36">
        <v>0</v>
      </c>
      <c r="AN36">
        <v>72</v>
      </c>
      <c r="AO36">
        <v>0</v>
      </c>
      <c r="AP36">
        <v>5</v>
      </c>
      <c r="AQ36">
        <v>0</v>
      </c>
      <c r="AR36">
        <v>3.2000000000000001E-2</v>
      </c>
      <c r="AS36">
        <v>1</v>
      </c>
      <c r="AU36">
        <v>3.2000000000000001E-2</v>
      </c>
    </row>
    <row r="37" spans="1:47" x14ac:dyDescent="0.3">
      <c r="A37" t="s">
        <v>72</v>
      </c>
      <c r="B37">
        <v>3120.0000030000001</v>
      </c>
      <c r="C37">
        <v>1.8530999999999999E-2</v>
      </c>
      <c r="D37">
        <v>26835</v>
      </c>
      <c r="E37">
        <v>96196</v>
      </c>
      <c r="F37">
        <v>2.5999999999999999E-2</v>
      </c>
      <c r="G37">
        <v>5.0000000000000001E-3</v>
      </c>
      <c r="H37">
        <v>40003</v>
      </c>
      <c r="I37">
        <v>0</v>
      </c>
      <c r="J37">
        <v>0</v>
      </c>
      <c r="K37">
        <v>1</v>
      </c>
      <c r="L37">
        <v>40003</v>
      </c>
      <c r="M37">
        <v>3120.0000030000001</v>
      </c>
      <c r="N37">
        <v>0.55047599999999997</v>
      </c>
      <c r="P37">
        <v>1</v>
      </c>
      <c r="R37">
        <v>43123</v>
      </c>
      <c r="S37">
        <v>43123</v>
      </c>
      <c r="U37">
        <v>1</v>
      </c>
      <c r="V37">
        <v>1</v>
      </c>
      <c r="W37">
        <v>1</v>
      </c>
      <c r="X37">
        <v>0</v>
      </c>
      <c r="Y37">
        <v>0</v>
      </c>
      <c r="Z37">
        <v>0</v>
      </c>
      <c r="AA37">
        <v>5.0000000000000001E-3</v>
      </c>
      <c r="AC37">
        <v>0.50094499999999997</v>
      </c>
      <c r="AE37">
        <v>1</v>
      </c>
      <c r="AF37">
        <v>9</v>
      </c>
      <c r="AH37">
        <v>0</v>
      </c>
      <c r="AJ37">
        <v>13</v>
      </c>
      <c r="AL37">
        <v>1</v>
      </c>
      <c r="AN37">
        <v>9</v>
      </c>
      <c r="AO37">
        <v>0</v>
      </c>
      <c r="AP37">
        <v>13</v>
      </c>
      <c r="AQ37">
        <v>1</v>
      </c>
      <c r="AR37">
        <v>6.6000000000000003E-2</v>
      </c>
      <c r="AS37">
        <v>2</v>
      </c>
      <c r="AU37">
        <v>3.3000000000000002E-2</v>
      </c>
    </row>
    <row r="38" spans="1:47" x14ac:dyDescent="0.3">
      <c r="A38" t="s">
        <v>73</v>
      </c>
      <c r="B38">
        <v>2959.9999459999999</v>
      </c>
      <c r="C38">
        <v>2.7404999999999999E-2</v>
      </c>
      <c r="D38">
        <v>25781</v>
      </c>
      <c r="E38">
        <v>88236</v>
      </c>
      <c r="F38">
        <v>2.5999999999999999E-2</v>
      </c>
      <c r="G38">
        <v>5.0000000000000001E-3</v>
      </c>
      <c r="H38">
        <v>50001</v>
      </c>
      <c r="I38">
        <v>0</v>
      </c>
      <c r="J38">
        <v>0</v>
      </c>
      <c r="K38">
        <v>1</v>
      </c>
      <c r="L38">
        <v>50001</v>
      </c>
      <c r="M38">
        <v>2959.999926</v>
      </c>
      <c r="N38">
        <v>0.70962000000000003</v>
      </c>
      <c r="P38">
        <v>1</v>
      </c>
      <c r="R38">
        <v>52960.999929999998</v>
      </c>
      <c r="S38">
        <v>52960.999949999998</v>
      </c>
      <c r="U38">
        <v>1</v>
      </c>
      <c r="V38">
        <v>1</v>
      </c>
      <c r="W38">
        <v>1</v>
      </c>
      <c r="X38">
        <v>0</v>
      </c>
      <c r="Y38">
        <v>0</v>
      </c>
      <c r="Z38">
        <v>0</v>
      </c>
      <c r="AA38">
        <v>5.0000000000000001E-3</v>
      </c>
      <c r="AC38">
        <v>0.65121499999999999</v>
      </c>
      <c r="AE38">
        <v>1</v>
      </c>
      <c r="AF38">
        <v>38</v>
      </c>
      <c r="AH38">
        <v>0</v>
      </c>
      <c r="AJ38">
        <v>6</v>
      </c>
      <c r="AL38">
        <v>0</v>
      </c>
      <c r="AN38">
        <v>38</v>
      </c>
      <c r="AO38">
        <v>0</v>
      </c>
      <c r="AP38">
        <v>6</v>
      </c>
      <c r="AQ38">
        <v>0</v>
      </c>
      <c r="AR38">
        <v>3.6999999999999998E-2</v>
      </c>
      <c r="AS38">
        <v>1</v>
      </c>
      <c r="AU38">
        <v>3.6999999999999998E-2</v>
      </c>
    </row>
    <row r="39" spans="1:47" x14ac:dyDescent="0.3">
      <c r="A39" t="s">
        <v>74</v>
      </c>
      <c r="B39">
        <v>3019.9999630000002</v>
      </c>
      <c r="C39">
        <v>2.1673000000000001E-2</v>
      </c>
      <c r="D39">
        <v>31670</v>
      </c>
      <c r="E39">
        <v>112575</v>
      </c>
      <c r="F39">
        <v>3.2000000000000001E-2</v>
      </c>
      <c r="G39">
        <v>8.0000000000000002E-3</v>
      </c>
      <c r="H39">
        <v>40001</v>
      </c>
      <c r="I39">
        <v>0</v>
      </c>
      <c r="J39">
        <v>0</v>
      </c>
      <c r="K39">
        <v>1</v>
      </c>
      <c r="L39">
        <v>40001</v>
      </c>
      <c r="M39">
        <v>3019.9999389999998</v>
      </c>
      <c r="N39">
        <v>0.75002599999999997</v>
      </c>
      <c r="P39">
        <v>1</v>
      </c>
      <c r="R39">
        <v>43020.999940000002</v>
      </c>
      <c r="S39">
        <v>43020.999960000001</v>
      </c>
      <c r="U39">
        <v>1</v>
      </c>
      <c r="V39">
        <v>1</v>
      </c>
      <c r="W39">
        <v>1</v>
      </c>
      <c r="X39">
        <v>0</v>
      </c>
      <c r="Y39">
        <v>0</v>
      </c>
      <c r="Z39">
        <v>0</v>
      </c>
      <c r="AA39">
        <v>8.0000000000000002E-3</v>
      </c>
      <c r="AC39">
        <v>0.68835299999999999</v>
      </c>
      <c r="AE39">
        <v>1</v>
      </c>
      <c r="AF39">
        <v>244</v>
      </c>
      <c r="AH39">
        <v>0</v>
      </c>
      <c r="AJ39">
        <v>0</v>
      </c>
      <c r="AL39">
        <v>0</v>
      </c>
      <c r="AN39">
        <v>244</v>
      </c>
      <c r="AO39">
        <v>0</v>
      </c>
      <c r="AP39">
        <v>0</v>
      </c>
      <c r="AQ39">
        <v>0</v>
      </c>
      <c r="AR39">
        <v>6.2E-2</v>
      </c>
      <c r="AS39">
        <v>2</v>
      </c>
      <c r="AU39">
        <v>3.1E-2</v>
      </c>
    </row>
    <row r="40" spans="1:47" x14ac:dyDescent="0.3">
      <c r="A40" t="s">
        <v>75</v>
      </c>
      <c r="B40">
        <v>3119.999675</v>
      </c>
      <c r="C40">
        <v>1.8733E-2</v>
      </c>
      <c r="D40">
        <v>43535</v>
      </c>
      <c r="E40">
        <v>161418</v>
      </c>
      <c r="F40">
        <v>4.5999999999999999E-2</v>
      </c>
      <c r="G40">
        <v>1.2E-2</v>
      </c>
      <c r="H40">
        <v>40001</v>
      </c>
      <c r="I40">
        <v>0</v>
      </c>
      <c r="J40">
        <v>0</v>
      </c>
      <c r="K40">
        <v>1</v>
      </c>
      <c r="L40">
        <v>40001</v>
      </c>
      <c r="M40">
        <v>3119.999675</v>
      </c>
      <c r="N40">
        <v>2.35615</v>
      </c>
      <c r="P40">
        <v>1</v>
      </c>
      <c r="R40">
        <v>43120.999680000001</v>
      </c>
      <c r="S40">
        <v>43120.999680000001</v>
      </c>
      <c r="U40">
        <v>1</v>
      </c>
      <c r="V40">
        <v>1</v>
      </c>
      <c r="W40">
        <v>1</v>
      </c>
      <c r="X40">
        <v>0</v>
      </c>
      <c r="Y40">
        <v>0</v>
      </c>
      <c r="Z40">
        <v>0</v>
      </c>
      <c r="AA40">
        <v>1.2E-2</v>
      </c>
      <c r="AC40">
        <v>2.279417</v>
      </c>
      <c r="AE40">
        <v>1</v>
      </c>
      <c r="AF40">
        <v>1840</v>
      </c>
      <c r="AH40">
        <v>0</v>
      </c>
      <c r="AJ40">
        <v>68</v>
      </c>
      <c r="AL40">
        <v>1</v>
      </c>
      <c r="AN40">
        <v>1840</v>
      </c>
      <c r="AO40">
        <v>0</v>
      </c>
      <c r="AP40">
        <v>68</v>
      </c>
      <c r="AQ40">
        <v>1</v>
      </c>
      <c r="AR40">
        <v>6.6000000000000003E-2</v>
      </c>
      <c r="AS40">
        <v>2</v>
      </c>
      <c r="AU40">
        <v>3.3000000000000002E-2</v>
      </c>
    </row>
    <row r="41" spans="1:47" x14ac:dyDescent="0.3">
      <c r="A41" t="s">
        <v>76</v>
      </c>
      <c r="B41">
        <v>2939.9999469999998</v>
      </c>
      <c r="C41">
        <v>1.7708999999999999E-2</v>
      </c>
      <c r="D41">
        <v>11383</v>
      </c>
      <c r="E41">
        <v>34180</v>
      </c>
      <c r="F41">
        <v>8.0000000000000002E-3</v>
      </c>
      <c r="G41">
        <v>1E-3</v>
      </c>
      <c r="H41">
        <v>50001</v>
      </c>
      <c r="I41">
        <v>0</v>
      </c>
      <c r="J41">
        <v>0</v>
      </c>
      <c r="K41">
        <v>1</v>
      </c>
      <c r="L41">
        <v>50001</v>
      </c>
      <c r="M41">
        <v>2939.9999469999998</v>
      </c>
      <c r="N41">
        <v>0.87415599999999993</v>
      </c>
      <c r="P41">
        <v>1</v>
      </c>
      <c r="R41">
        <v>52940.999949999998</v>
      </c>
      <c r="S41">
        <v>52940.999949999998</v>
      </c>
      <c r="U41">
        <v>1</v>
      </c>
      <c r="V41">
        <v>1</v>
      </c>
      <c r="W41">
        <v>1</v>
      </c>
      <c r="X41">
        <v>0</v>
      </c>
      <c r="Y41">
        <v>0</v>
      </c>
      <c r="Z41">
        <v>0</v>
      </c>
      <c r="AA41">
        <v>1E-3</v>
      </c>
      <c r="AC41">
        <v>0.84744699999999995</v>
      </c>
      <c r="AE41">
        <v>1</v>
      </c>
      <c r="AF41">
        <v>157</v>
      </c>
      <c r="AH41">
        <v>0</v>
      </c>
      <c r="AJ41">
        <v>78</v>
      </c>
      <c r="AL41">
        <v>1</v>
      </c>
      <c r="AN41">
        <v>157</v>
      </c>
      <c r="AO41">
        <v>0</v>
      </c>
      <c r="AP41">
        <v>78</v>
      </c>
      <c r="AQ41">
        <v>1</v>
      </c>
      <c r="AR41">
        <v>7.2999999999999995E-2</v>
      </c>
      <c r="AS41">
        <v>2</v>
      </c>
      <c r="AU41">
        <v>3.6499999999999998E-2</v>
      </c>
    </row>
    <row r="42" spans="1:47" x14ac:dyDescent="0.3">
      <c r="A42" t="s">
        <v>77</v>
      </c>
      <c r="B42">
        <v>3200.0002439999998</v>
      </c>
      <c r="C42">
        <v>1.6071999999999999E-2</v>
      </c>
      <c r="D42">
        <v>17826</v>
      </c>
      <c r="E42">
        <v>58680</v>
      </c>
      <c r="F42">
        <v>1.6E-2</v>
      </c>
      <c r="G42">
        <v>3.0000000000000001E-3</v>
      </c>
      <c r="H42">
        <v>50001</v>
      </c>
      <c r="I42">
        <v>0</v>
      </c>
      <c r="J42">
        <v>0</v>
      </c>
      <c r="K42">
        <v>1</v>
      </c>
      <c r="L42">
        <v>50001</v>
      </c>
      <c r="M42">
        <v>3200.0002319999999</v>
      </c>
      <c r="N42">
        <v>1.550513</v>
      </c>
      <c r="P42">
        <v>1</v>
      </c>
      <c r="R42">
        <v>53201.000229999998</v>
      </c>
      <c r="S42">
        <v>53201.000240000001</v>
      </c>
      <c r="U42">
        <v>1</v>
      </c>
      <c r="V42">
        <v>1</v>
      </c>
      <c r="W42">
        <v>1</v>
      </c>
      <c r="X42">
        <v>0</v>
      </c>
      <c r="Y42">
        <v>0</v>
      </c>
      <c r="Z42">
        <v>0</v>
      </c>
      <c r="AA42">
        <v>3.0000000000000001E-3</v>
      </c>
      <c r="AC42">
        <v>1.515441</v>
      </c>
      <c r="AE42">
        <v>1</v>
      </c>
      <c r="AF42">
        <v>480</v>
      </c>
      <c r="AH42">
        <v>0</v>
      </c>
      <c r="AJ42">
        <v>111</v>
      </c>
      <c r="AL42">
        <v>0</v>
      </c>
      <c r="AN42">
        <v>480</v>
      </c>
      <c r="AO42">
        <v>0</v>
      </c>
      <c r="AP42">
        <v>111</v>
      </c>
      <c r="AQ42">
        <v>0</v>
      </c>
      <c r="AR42">
        <v>8.7999999999999995E-2</v>
      </c>
      <c r="AS42">
        <v>1</v>
      </c>
      <c r="AU42">
        <v>8.7999999999999995E-2</v>
      </c>
    </row>
    <row r="43" spans="1:47" x14ac:dyDescent="0.3">
      <c r="A43" t="s">
        <v>78</v>
      </c>
      <c r="B43">
        <v>2959.9999459999999</v>
      </c>
      <c r="C43">
        <v>1.9081000000000001E-2</v>
      </c>
      <c r="D43">
        <v>26705</v>
      </c>
      <c r="E43">
        <v>95897</v>
      </c>
      <c r="F43">
        <v>2.8000000000000001E-2</v>
      </c>
      <c r="G43">
        <v>6.0000000000000001E-3</v>
      </c>
      <c r="H43">
        <v>40003</v>
      </c>
      <c r="I43">
        <v>0</v>
      </c>
      <c r="J43">
        <v>0</v>
      </c>
      <c r="K43">
        <v>1</v>
      </c>
      <c r="L43">
        <v>40003</v>
      </c>
      <c r="M43">
        <v>2959.9999459999999</v>
      </c>
      <c r="N43">
        <v>3.4411500000000004</v>
      </c>
      <c r="P43">
        <v>1</v>
      </c>
      <c r="R43">
        <v>42962.999949999998</v>
      </c>
      <c r="S43">
        <v>42962.999949999998</v>
      </c>
      <c r="U43">
        <v>1</v>
      </c>
      <c r="V43">
        <v>1</v>
      </c>
      <c r="W43">
        <v>1</v>
      </c>
      <c r="X43">
        <v>0</v>
      </c>
      <c r="Y43">
        <v>0</v>
      </c>
      <c r="Z43">
        <v>0</v>
      </c>
      <c r="AA43">
        <v>6.0000000000000001E-3</v>
      </c>
      <c r="AC43">
        <v>3.3880690000000002</v>
      </c>
      <c r="AE43">
        <v>1</v>
      </c>
      <c r="AF43">
        <v>1432</v>
      </c>
      <c r="AH43">
        <v>0</v>
      </c>
      <c r="AJ43">
        <v>135</v>
      </c>
      <c r="AL43">
        <v>7</v>
      </c>
      <c r="AN43">
        <v>1432</v>
      </c>
      <c r="AO43">
        <v>0</v>
      </c>
      <c r="AP43">
        <v>135</v>
      </c>
      <c r="AQ43">
        <v>7</v>
      </c>
      <c r="AR43">
        <v>0.78900000000000003</v>
      </c>
      <c r="AS43">
        <v>10</v>
      </c>
      <c r="AU43">
        <v>7.8899999999999998E-2</v>
      </c>
    </row>
    <row r="44" spans="1:47" x14ac:dyDescent="0.3">
      <c r="A44" t="s">
        <v>79</v>
      </c>
      <c r="B44">
        <v>3119.999957</v>
      </c>
      <c r="C44">
        <v>1.4345E-2</v>
      </c>
      <c r="D44">
        <v>36799</v>
      </c>
      <c r="E44">
        <v>140579</v>
      </c>
      <c r="F44">
        <v>0.04</v>
      </c>
      <c r="G44">
        <v>0.01</v>
      </c>
      <c r="H44">
        <v>50001</v>
      </c>
      <c r="I44">
        <v>0</v>
      </c>
      <c r="J44">
        <v>0</v>
      </c>
      <c r="K44">
        <v>1</v>
      </c>
      <c r="L44">
        <v>50001</v>
      </c>
      <c r="M44">
        <v>3119.999957</v>
      </c>
      <c r="N44">
        <v>0.51255899999999999</v>
      </c>
      <c r="P44">
        <v>1</v>
      </c>
      <c r="R44">
        <v>53120.999960000001</v>
      </c>
      <c r="S44">
        <v>53120.999960000001</v>
      </c>
      <c r="U44">
        <v>1</v>
      </c>
      <c r="V44">
        <v>1</v>
      </c>
      <c r="W44">
        <v>1</v>
      </c>
      <c r="X44">
        <v>0</v>
      </c>
      <c r="Y44">
        <v>0</v>
      </c>
      <c r="Z44">
        <v>0</v>
      </c>
      <c r="AA44">
        <v>0.01</v>
      </c>
      <c r="AC44">
        <v>0.448214</v>
      </c>
      <c r="AE44">
        <v>1</v>
      </c>
      <c r="AF44">
        <v>55</v>
      </c>
      <c r="AH44">
        <v>0</v>
      </c>
      <c r="AJ44">
        <v>13</v>
      </c>
      <c r="AL44">
        <v>0</v>
      </c>
      <c r="AN44">
        <v>55</v>
      </c>
      <c r="AO44">
        <v>0</v>
      </c>
      <c r="AP44">
        <v>13</v>
      </c>
      <c r="AQ44">
        <v>0</v>
      </c>
      <c r="AR44">
        <v>3.3000000000000002E-2</v>
      </c>
      <c r="AS44">
        <v>1</v>
      </c>
      <c r="AU44">
        <v>3.3000000000000002E-2</v>
      </c>
    </row>
    <row r="45" spans="1:47" x14ac:dyDescent="0.3">
      <c r="A45" t="s">
        <v>80</v>
      </c>
      <c r="B45">
        <v>3019.9997720000001</v>
      </c>
      <c r="C45">
        <v>1.8623000000000001E-2</v>
      </c>
      <c r="D45">
        <v>15312</v>
      </c>
      <c r="E45">
        <v>49344</v>
      </c>
      <c r="F45">
        <v>1.2999999999999999E-2</v>
      </c>
      <c r="G45">
        <v>2E-3</v>
      </c>
      <c r="H45">
        <v>40002</v>
      </c>
      <c r="I45">
        <v>0</v>
      </c>
      <c r="J45">
        <v>0</v>
      </c>
      <c r="K45">
        <v>1</v>
      </c>
      <c r="L45">
        <v>40002</v>
      </c>
      <c r="M45">
        <v>3019.9997680000001</v>
      </c>
      <c r="N45">
        <v>0.52560200000000001</v>
      </c>
      <c r="P45">
        <v>1</v>
      </c>
      <c r="R45">
        <v>43021.999770000002</v>
      </c>
      <c r="S45">
        <v>43021.999770000002</v>
      </c>
      <c r="U45">
        <v>1</v>
      </c>
      <c r="V45">
        <v>1</v>
      </c>
      <c r="W45">
        <v>1</v>
      </c>
      <c r="X45">
        <v>0</v>
      </c>
      <c r="Y45">
        <v>0</v>
      </c>
      <c r="Z45">
        <v>0</v>
      </c>
      <c r="AA45">
        <v>2E-3</v>
      </c>
      <c r="AC45">
        <v>0.491979</v>
      </c>
      <c r="AE45">
        <v>1</v>
      </c>
      <c r="AF45">
        <v>80</v>
      </c>
      <c r="AH45">
        <v>0</v>
      </c>
      <c r="AJ45">
        <v>0</v>
      </c>
      <c r="AL45">
        <v>0</v>
      </c>
      <c r="AN45">
        <v>80</v>
      </c>
      <c r="AO45">
        <v>0</v>
      </c>
      <c r="AP45">
        <v>0</v>
      </c>
      <c r="AQ45">
        <v>0</v>
      </c>
      <c r="AR45">
        <v>0.03</v>
      </c>
      <c r="AS45">
        <v>1</v>
      </c>
      <c r="AU45">
        <v>0.03</v>
      </c>
    </row>
    <row r="46" spans="1:47" x14ac:dyDescent="0.3">
      <c r="A46" t="s">
        <v>81</v>
      </c>
      <c r="B46">
        <v>3260.0000380000001</v>
      </c>
      <c r="C46">
        <v>1.9918999999999999E-2</v>
      </c>
      <c r="D46">
        <v>8048</v>
      </c>
      <c r="E46">
        <v>21801</v>
      </c>
      <c r="F46">
        <v>6.0000000000000001E-3</v>
      </c>
      <c r="G46">
        <v>1E-3</v>
      </c>
      <c r="H46">
        <v>30003</v>
      </c>
      <c r="I46">
        <v>0</v>
      </c>
      <c r="J46">
        <v>0</v>
      </c>
      <c r="K46">
        <v>1</v>
      </c>
      <c r="L46">
        <v>30003</v>
      </c>
      <c r="M46">
        <v>3260.0000380000001</v>
      </c>
      <c r="N46">
        <v>0.55233700000000008</v>
      </c>
      <c r="P46">
        <v>1</v>
      </c>
      <c r="R46">
        <v>33263.000039999999</v>
      </c>
      <c r="S46">
        <v>33263.000039999999</v>
      </c>
      <c r="U46">
        <v>1</v>
      </c>
      <c r="V46">
        <v>1</v>
      </c>
      <c r="W46">
        <v>1</v>
      </c>
      <c r="X46">
        <v>0</v>
      </c>
      <c r="Y46">
        <v>0</v>
      </c>
      <c r="Z46">
        <v>0</v>
      </c>
      <c r="AA46">
        <v>1E-3</v>
      </c>
      <c r="AC46">
        <v>0.52541800000000005</v>
      </c>
      <c r="AE46">
        <v>1</v>
      </c>
      <c r="AF46">
        <v>36</v>
      </c>
      <c r="AH46">
        <v>0</v>
      </c>
      <c r="AJ46">
        <v>12</v>
      </c>
      <c r="AL46">
        <v>0</v>
      </c>
      <c r="AN46">
        <v>36</v>
      </c>
      <c r="AO46">
        <v>0</v>
      </c>
      <c r="AP46">
        <v>12</v>
      </c>
      <c r="AQ46">
        <v>0</v>
      </c>
      <c r="AR46">
        <v>0.03</v>
      </c>
      <c r="AS46">
        <v>1</v>
      </c>
      <c r="AU46">
        <v>0.03</v>
      </c>
    </row>
    <row r="47" spans="1:47" x14ac:dyDescent="0.3">
      <c r="A47" t="s">
        <v>82</v>
      </c>
      <c r="B47">
        <v>3019.9997720000001</v>
      </c>
      <c r="C47">
        <v>6.472E-2</v>
      </c>
      <c r="D47">
        <v>31588</v>
      </c>
      <c r="E47">
        <v>112545</v>
      </c>
      <c r="F47">
        <v>3.2000000000000001E-2</v>
      </c>
      <c r="G47">
        <v>7.0000000000000001E-3</v>
      </c>
      <c r="H47">
        <v>40001</v>
      </c>
      <c r="I47">
        <v>0</v>
      </c>
      <c r="J47">
        <v>0</v>
      </c>
      <c r="K47">
        <v>1</v>
      </c>
      <c r="L47">
        <v>40001</v>
      </c>
      <c r="M47">
        <v>3019.9997720000001</v>
      </c>
      <c r="N47">
        <v>1.1267780000000001</v>
      </c>
      <c r="P47">
        <v>1</v>
      </c>
      <c r="R47">
        <v>43020.999770000002</v>
      </c>
      <c r="S47">
        <v>43020.999770000002</v>
      </c>
      <c r="U47">
        <v>1</v>
      </c>
      <c r="V47">
        <v>1</v>
      </c>
      <c r="W47">
        <v>1</v>
      </c>
      <c r="X47">
        <v>0</v>
      </c>
      <c r="Y47">
        <v>0</v>
      </c>
      <c r="Z47">
        <v>0</v>
      </c>
      <c r="AA47">
        <v>7.0000000000000001E-3</v>
      </c>
      <c r="AC47">
        <v>1.023058</v>
      </c>
      <c r="AE47">
        <v>1</v>
      </c>
      <c r="AF47">
        <v>94</v>
      </c>
      <c r="AH47">
        <v>0</v>
      </c>
      <c r="AJ47">
        <v>11</v>
      </c>
      <c r="AL47">
        <v>0</v>
      </c>
      <c r="AN47">
        <v>94</v>
      </c>
      <c r="AO47">
        <v>0</v>
      </c>
      <c r="AP47">
        <v>11</v>
      </c>
      <c r="AQ47">
        <v>0</v>
      </c>
      <c r="AR47">
        <v>0.15</v>
      </c>
      <c r="AS47">
        <v>1</v>
      </c>
      <c r="AU47">
        <v>0.15</v>
      </c>
    </row>
    <row r="48" spans="1:47" x14ac:dyDescent="0.3">
      <c r="A48" t="s">
        <v>83</v>
      </c>
      <c r="B48">
        <v>3239.9997950000002</v>
      </c>
      <c r="C48">
        <v>1.8887000000000001E-2</v>
      </c>
      <c r="D48">
        <v>39715</v>
      </c>
      <c r="E48">
        <v>145580</v>
      </c>
      <c r="F48">
        <v>4.2999999999999997E-2</v>
      </c>
      <c r="G48">
        <v>1.0999999999999999E-2</v>
      </c>
      <c r="H48">
        <v>40001</v>
      </c>
      <c r="I48">
        <v>0</v>
      </c>
      <c r="J48">
        <v>0</v>
      </c>
      <c r="K48">
        <v>1</v>
      </c>
      <c r="L48">
        <v>40001</v>
      </c>
      <c r="M48">
        <v>3239.9997950000002</v>
      </c>
      <c r="N48">
        <v>1.069264</v>
      </c>
      <c r="P48">
        <v>1</v>
      </c>
      <c r="R48">
        <v>43240.999799999998</v>
      </c>
      <c r="S48">
        <v>43240.999799999998</v>
      </c>
      <c r="U48">
        <v>1</v>
      </c>
      <c r="V48">
        <v>1</v>
      </c>
      <c r="W48">
        <v>1</v>
      </c>
      <c r="X48">
        <v>0</v>
      </c>
      <c r="Y48">
        <v>0</v>
      </c>
      <c r="Z48">
        <v>0</v>
      </c>
      <c r="AA48">
        <v>1.0999999999999999E-2</v>
      </c>
      <c r="AC48">
        <v>0.99637699999999996</v>
      </c>
      <c r="AE48">
        <v>1</v>
      </c>
      <c r="AF48">
        <v>82</v>
      </c>
      <c r="AH48">
        <v>0</v>
      </c>
      <c r="AJ48">
        <v>20</v>
      </c>
      <c r="AL48">
        <v>4</v>
      </c>
      <c r="AN48">
        <v>82</v>
      </c>
      <c r="AO48">
        <v>0</v>
      </c>
      <c r="AP48">
        <v>20</v>
      </c>
      <c r="AQ48">
        <v>4</v>
      </c>
      <c r="AR48">
        <v>0.27500000000000002</v>
      </c>
      <c r="AS48">
        <v>5</v>
      </c>
      <c r="AU48">
        <v>5.5E-2</v>
      </c>
    </row>
    <row r="49" spans="1:48" x14ac:dyDescent="0.3">
      <c r="A49" t="s">
        <v>84</v>
      </c>
      <c r="B49">
        <v>3039.999855</v>
      </c>
      <c r="C49">
        <v>1.8440000000000002E-2</v>
      </c>
      <c r="D49">
        <v>21700</v>
      </c>
      <c r="E49">
        <v>73066</v>
      </c>
      <c r="F49">
        <v>0.02</v>
      </c>
      <c r="G49">
        <v>3.0000000000000001E-3</v>
      </c>
      <c r="H49">
        <v>40002</v>
      </c>
      <c r="I49">
        <v>0</v>
      </c>
      <c r="J49">
        <v>0</v>
      </c>
      <c r="K49">
        <v>1</v>
      </c>
      <c r="L49">
        <v>40002</v>
      </c>
      <c r="M49">
        <v>3039.999855</v>
      </c>
      <c r="N49">
        <v>1.1957179999999998</v>
      </c>
      <c r="P49">
        <v>1</v>
      </c>
      <c r="R49">
        <v>43041.999860000004</v>
      </c>
      <c r="S49">
        <v>43041.999860000004</v>
      </c>
      <c r="U49">
        <v>1</v>
      </c>
      <c r="V49">
        <v>1</v>
      </c>
      <c r="W49">
        <v>1</v>
      </c>
      <c r="X49">
        <v>0</v>
      </c>
      <c r="Y49">
        <v>0</v>
      </c>
      <c r="Z49">
        <v>0</v>
      </c>
      <c r="AA49">
        <v>3.0000000000000001E-3</v>
      </c>
      <c r="AC49">
        <v>1.1542779999999999</v>
      </c>
      <c r="AE49">
        <v>1</v>
      </c>
      <c r="AF49">
        <v>141</v>
      </c>
      <c r="AH49">
        <v>0</v>
      </c>
      <c r="AJ49">
        <v>76</v>
      </c>
      <c r="AL49">
        <v>4</v>
      </c>
      <c r="AN49">
        <v>141</v>
      </c>
      <c r="AO49">
        <v>0</v>
      </c>
      <c r="AP49">
        <v>76</v>
      </c>
      <c r="AQ49">
        <v>4</v>
      </c>
      <c r="AR49">
        <v>0.308</v>
      </c>
      <c r="AS49">
        <v>5</v>
      </c>
      <c r="AU49">
        <v>6.1600000000000002E-2</v>
      </c>
    </row>
    <row r="50" spans="1:48" x14ac:dyDescent="0.3">
      <c r="A50" t="s">
        <v>85</v>
      </c>
      <c r="B50">
        <v>2999.9998270000001</v>
      </c>
      <c r="C50">
        <v>1.7363E-2</v>
      </c>
      <c r="D50">
        <v>32614</v>
      </c>
      <c r="E50">
        <v>116945</v>
      </c>
      <c r="F50">
        <v>3.4000000000000002E-2</v>
      </c>
      <c r="G50">
        <v>8.9999999999999993E-3</v>
      </c>
      <c r="H50">
        <v>40001</v>
      </c>
      <c r="I50">
        <v>0</v>
      </c>
      <c r="J50">
        <v>0</v>
      </c>
      <c r="K50">
        <v>1</v>
      </c>
      <c r="L50">
        <v>40001</v>
      </c>
      <c r="M50">
        <v>2999.9998270000001</v>
      </c>
      <c r="N50">
        <v>2.0901130000000001</v>
      </c>
      <c r="P50">
        <v>1</v>
      </c>
      <c r="R50">
        <v>43000.999830000001</v>
      </c>
      <c r="S50">
        <v>43000.999830000001</v>
      </c>
      <c r="U50">
        <v>1</v>
      </c>
      <c r="V50">
        <v>1</v>
      </c>
      <c r="W50">
        <v>1</v>
      </c>
      <c r="X50">
        <v>0</v>
      </c>
      <c r="Y50">
        <v>0</v>
      </c>
      <c r="Z50">
        <v>0</v>
      </c>
      <c r="AA50">
        <v>8.9999999999999993E-3</v>
      </c>
      <c r="AC50">
        <v>2.0297499999999999</v>
      </c>
      <c r="AE50">
        <v>1</v>
      </c>
      <c r="AF50">
        <v>1259</v>
      </c>
      <c r="AH50">
        <v>0</v>
      </c>
      <c r="AJ50">
        <v>71</v>
      </c>
      <c r="AL50">
        <v>16</v>
      </c>
      <c r="AN50">
        <v>1259</v>
      </c>
      <c r="AO50">
        <v>0</v>
      </c>
      <c r="AP50">
        <v>71</v>
      </c>
      <c r="AQ50">
        <v>16</v>
      </c>
      <c r="AR50">
        <v>0.497</v>
      </c>
      <c r="AS50">
        <v>17</v>
      </c>
      <c r="AU50">
        <v>2.9235000000000001E-2</v>
      </c>
    </row>
    <row r="51" spans="1:48" x14ac:dyDescent="0.3">
      <c r="A51" t="s">
        <v>86</v>
      </c>
      <c r="B51">
        <v>3019.999945</v>
      </c>
      <c r="C51">
        <v>1.8065999999999999E-2</v>
      </c>
      <c r="D51">
        <v>18381</v>
      </c>
      <c r="E51">
        <v>61525</v>
      </c>
      <c r="F51">
        <v>1.7000000000000001E-2</v>
      </c>
      <c r="G51">
        <v>3.0000000000000001E-3</v>
      </c>
      <c r="H51">
        <v>40003</v>
      </c>
      <c r="I51">
        <v>0</v>
      </c>
      <c r="J51">
        <v>0</v>
      </c>
      <c r="K51">
        <v>1</v>
      </c>
      <c r="L51">
        <v>40003</v>
      </c>
      <c r="M51">
        <v>3019.9999360000002</v>
      </c>
      <c r="N51">
        <v>0.32724999999999999</v>
      </c>
      <c r="P51">
        <v>1</v>
      </c>
      <c r="R51">
        <v>43022.999940000002</v>
      </c>
      <c r="S51">
        <v>43022.999949999998</v>
      </c>
      <c r="U51">
        <v>1</v>
      </c>
      <c r="V51">
        <v>1</v>
      </c>
      <c r="W51">
        <v>1</v>
      </c>
      <c r="X51">
        <v>0</v>
      </c>
      <c r="Y51">
        <v>0</v>
      </c>
      <c r="Z51">
        <v>0</v>
      </c>
      <c r="AA51">
        <v>3.0000000000000001E-3</v>
      </c>
      <c r="AC51">
        <v>0.289184</v>
      </c>
      <c r="AE51">
        <v>1</v>
      </c>
      <c r="AF51">
        <v>29</v>
      </c>
      <c r="AH51">
        <v>0</v>
      </c>
      <c r="AJ51">
        <v>9</v>
      </c>
      <c r="AL51">
        <v>0</v>
      </c>
      <c r="AN51">
        <v>29</v>
      </c>
      <c r="AO51">
        <v>0</v>
      </c>
      <c r="AP51">
        <v>9</v>
      </c>
      <c r="AQ51">
        <v>0</v>
      </c>
      <c r="AR51">
        <v>1.9E-2</v>
      </c>
      <c r="AS51">
        <v>1</v>
      </c>
      <c r="AU51">
        <v>1.9E-2</v>
      </c>
    </row>
    <row r="52" spans="1:48" x14ac:dyDescent="0.3">
      <c r="A52" t="s">
        <v>87</v>
      </c>
      <c r="B52">
        <v>3019.9999630000002</v>
      </c>
      <c r="C52">
        <v>2.2202E-2</v>
      </c>
      <c r="D52">
        <v>38448</v>
      </c>
      <c r="E52">
        <v>147688</v>
      </c>
      <c r="F52">
        <v>4.2999999999999997E-2</v>
      </c>
      <c r="G52">
        <v>1.0999999999999999E-2</v>
      </c>
      <c r="H52">
        <v>40002</v>
      </c>
      <c r="I52">
        <v>0</v>
      </c>
      <c r="J52">
        <v>0</v>
      </c>
      <c r="K52">
        <v>1</v>
      </c>
      <c r="L52">
        <v>40002</v>
      </c>
      <c r="M52">
        <v>3019.9999630000002</v>
      </c>
      <c r="N52">
        <v>0.788605</v>
      </c>
      <c r="P52">
        <v>1</v>
      </c>
      <c r="R52">
        <v>43021.999960000001</v>
      </c>
      <c r="S52">
        <v>43021.999960000001</v>
      </c>
      <c r="U52">
        <v>1</v>
      </c>
      <c r="V52">
        <v>1</v>
      </c>
      <c r="W52">
        <v>1</v>
      </c>
      <c r="X52">
        <v>0</v>
      </c>
      <c r="Y52">
        <v>0</v>
      </c>
      <c r="Z52">
        <v>0</v>
      </c>
      <c r="AA52">
        <v>1.0999999999999999E-2</v>
      </c>
      <c r="AC52">
        <v>0.71240300000000001</v>
      </c>
      <c r="AE52">
        <v>1</v>
      </c>
      <c r="AF52">
        <v>40</v>
      </c>
      <c r="AH52">
        <v>0</v>
      </c>
      <c r="AJ52">
        <v>62</v>
      </c>
      <c r="AL52">
        <v>1</v>
      </c>
      <c r="AN52">
        <v>40</v>
      </c>
      <c r="AO52">
        <v>0</v>
      </c>
      <c r="AP52">
        <v>62</v>
      </c>
      <c r="AQ52">
        <v>1</v>
      </c>
      <c r="AR52">
        <v>7.5999999999999998E-2</v>
      </c>
      <c r="AS52">
        <v>2</v>
      </c>
      <c r="AU52">
        <v>3.7999999999999999E-2</v>
      </c>
    </row>
    <row r="53" spans="1:48" x14ac:dyDescent="0.3">
      <c r="A53" t="s">
        <v>88</v>
      </c>
      <c r="B53">
        <v>3000.0001609999999</v>
      </c>
      <c r="C53">
        <v>1.745E-2</v>
      </c>
      <c r="D53">
        <v>28878</v>
      </c>
      <c r="E53">
        <v>101976</v>
      </c>
      <c r="F53">
        <v>2.9000000000000001E-2</v>
      </c>
      <c r="G53">
        <v>7.0000000000000001E-3</v>
      </c>
      <c r="H53">
        <v>50001</v>
      </c>
      <c r="I53">
        <v>0</v>
      </c>
      <c r="J53">
        <v>0</v>
      </c>
      <c r="K53">
        <v>1</v>
      </c>
      <c r="L53">
        <v>50001</v>
      </c>
      <c r="M53">
        <v>3000.0001609999999</v>
      </c>
      <c r="N53">
        <v>2.0273440000000003</v>
      </c>
      <c r="P53">
        <v>1</v>
      </c>
      <c r="R53">
        <v>53001.000160000003</v>
      </c>
      <c r="S53">
        <v>53001.000160000003</v>
      </c>
      <c r="U53">
        <v>1</v>
      </c>
      <c r="V53">
        <v>1</v>
      </c>
      <c r="W53">
        <v>1</v>
      </c>
      <c r="X53">
        <v>0</v>
      </c>
      <c r="Y53">
        <v>0</v>
      </c>
      <c r="Z53">
        <v>0</v>
      </c>
      <c r="AA53">
        <v>7.0000000000000001E-3</v>
      </c>
      <c r="AC53">
        <v>1.973894</v>
      </c>
      <c r="AE53">
        <v>1</v>
      </c>
      <c r="AF53">
        <v>89</v>
      </c>
      <c r="AH53">
        <v>0</v>
      </c>
      <c r="AJ53">
        <v>51</v>
      </c>
      <c r="AL53">
        <v>24</v>
      </c>
      <c r="AN53">
        <v>89</v>
      </c>
      <c r="AO53">
        <v>0</v>
      </c>
      <c r="AP53">
        <v>51</v>
      </c>
      <c r="AQ53">
        <v>24</v>
      </c>
      <c r="AR53">
        <v>1.1220000000000001</v>
      </c>
      <c r="AS53">
        <v>25</v>
      </c>
      <c r="AU53">
        <v>4.4880000000000003E-2</v>
      </c>
    </row>
    <row r="54" spans="1:48" x14ac:dyDescent="0.3">
      <c r="A54" t="s">
        <v>89</v>
      </c>
      <c r="B54">
        <v>3000.0001609999999</v>
      </c>
      <c r="C54">
        <v>2.4045E-2</v>
      </c>
      <c r="D54">
        <v>63159</v>
      </c>
      <c r="E54">
        <v>253998</v>
      </c>
      <c r="F54">
        <v>7.8E-2</v>
      </c>
      <c r="G54">
        <v>1.9E-2</v>
      </c>
      <c r="H54">
        <v>40002</v>
      </c>
      <c r="I54">
        <v>0</v>
      </c>
      <c r="J54">
        <v>0</v>
      </c>
      <c r="K54">
        <v>1</v>
      </c>
      <c r="L54">
        <v>40002</v>
      </c>
      <c r="M54">
        <v>3000.0001609999999</v>
      </c>
      <c r="N54">
        <v>1.271304</v>
      </c>
      <c r="P54">
        <v>1</v>
      </c>
      <c r="R54">
        <v>43002.000160000003</v>
      </c>
      <c r="S54">
        <v>43002.000160000003</v>
      </c>
      <c r="U54">
        <v>1</v>
      </c>
      <c r="V54">
        <v>1</v>
      </c>
      <c r="W54">
        <v>1</v>
      </c>
      <c r="X54">
        <v>0</v>
      </c>
      <c r="Y54">
        <v>0</v>
      </c>
      <c r="Z54">
        <v>0</v>
      </c>
      <c r="AA54">
        <v>1.9E-2</v>
      </c>
      <c r="AC54">
        <v>1.1502589999999999</v>
      </c>
      <c r="AE54">
        <v>1</v>
      </c>
      <c r="AF54">
        <v>114</v>
      </c>
      <c r="AH54">
        <v>0</v>
      </c>
      <c r="AJ54">
        <v>73</v>
      </c>
      <c r="AL54">
        <v>3</v>
      </c>
      <c r="AN54">
        <v>114</v>
      </c>
      <c r="AO54">
        <v>0</v>
      </c>
      <c r="AP54">
        <v>73</v>
      </c>
      <c r="AQ54">
        <v>3</v>
      </c>
      <c r="AR54">
        <v>0.17299999999999999</v>
      </c>
      <c r="AS54">
        <v>4</v>
      </c>
      <c r="AU54">
        <v>4.3249999999999997E-2</v>
      </c>
    </row>
    <row r="55" spans="1:48" x14ac:dyDescent="0.3">
      <c r="A55" t="s">
        <v>90</v>
      </c>
      <c r="B55">
        <v>3020.0000460000001</v>
      </c>
      <c r="C55">
        <v>2.0166E-2</v>
      </c>
      <c r="D55">
        <v>22029</v>
      </c>
      <c r="E55">
        <v>75043</v>
      </c>
      <c r="F55">
        <v>0.02</v>
      </c>
      <c r="G55">
        <v>4.0000000000000001E-3</v>
      </c>
      <c r="H55">
        <v>40002</v>
      </c>
      <c r="I55">
        <v>0</v>
      </c>
      <c r="J55">
        <v>0</v>
      </c>
      <c r="K55">
        <v>1</v>
      </c>
      <c r="L55">
        <v>40002</v>
      </c>
      <c r="M55">
        <v>3020.0000220000002</v>
      </c>
      <c r="N55">
        <v>0.77621000000000007</v>
      </c>
      <c r="P55">
        <v>1</v>
      </c>
      <c r="R55">
        <v>43022.000019999999</v>
      </c>
      <c r="S55">
        <v>43022.000050000002</v>
      </c>
      <c r="U55">
        <v>1</v>
      </c>
      <c r="V55">
        <v>1</v>
      </c>
      <c r="W55">
        <v>1</v>
      </c>
      <c r="X55">
        <v>0</v>
      </c>
      <c r="Y55">
        <v>0</v>
      </c>
      <c r="Z55">
        <v>0</v>
      </c>
      <c r="AA55">
        <v>4.0000000000000001E-3</v>
      </c>
      <c r="AC55">
        <v>0.73204400000000003</v>
      </c>
      <c r="AE55">
        <v>1</v>
      </c>
      <c r="AF55">
        <v>104</v>
      </c>
      <c r="AH55">
        <v>0</v>
      </c>
      <c r="AJ55">
        <v>23</v>
      </c>
      <c r="AL55">
        <v>0</v>
      </c>
      <c r="AN55">
        <v>104</v>
      </c>
      <c r="AO55">
        <v>0</v>
      </c>
      <c r="AP55">
        <v>23</v>
      </c>
      <c r="AQ55">
        <v>0</v>
      </c>
      <c r="AR55">
        <v>3.2000000000000001E-2</v>
      </c>
      <c r="AS55">
        <v>1</v>
      </c>
      <c r="AU55">
        <v>3.2000000000000001E-2</v>
      </c>
    </row>
    <row r="56" spans="1:48" x14ac:dyDescent="0.3">
      <c r="A56" t="s">
        <v>91</v>
      </c>
      <c r="B56">
        <v>3100.0003190000002</v>
      </c>
      <c r="C56">
        <v>1.6456999999999999E-2</v>
      </c>
      <c r="D56">
        <v>23977</v>
      </c>
      <c r="E56">
        <v>81372</v>
      </c>
      <c r="F56">
        <v>2.3E-2</v>
      </c>
      <c r="G56">
        <v>4.0000000000000001E-3</v>
      </c>
      <c r="H56">
        <v>40002</v>
      </c>
      <c r="I56">
        <v>0</v>
      </c>
      <c r="J56">
        <v>0</v>
      </c>
      <c r="K56">
        <v>1</v>
      </c>
      <c r="L56">
        <v>40002</v>
      </c>
      <c r="M56">
        <v>3100.0001040000002</v>
      </c>
      <c r="N56">
        <v>1.0028969999999999</v>
      </c>
      <c r="P56">
        <v>1</v>
      </c>
      <c r="R56">
        <v>43102.000099999997</v>
      </c>
      <c r="S56">
        <v>43102.000319999999</v>
      </c>
      <c r="U56">
        <v>1</v>
      </c>
      <c r="V56">
        <v>1</v>
      </c>
      <c r="W56">
        <v>1</v>
      </c>
      <c r="X56">
        <v>0</v>
      </c>
      <c r="Y56">
        <v>0</v>
      </c>
      <c r="Z56">
        <v>0</v>
      </c>
      <c r="AA56">
        <v>4.0000000000000001E-3</v>
      </c>
      <c r="AC56">
        <v>0.95943999999999996</v>
      </c>
      <c r="AE56">
        <v>1</v>
      </c>
      <c r="AF56">
        <v>185</v>
      </c>
      <c r="AH56">
        <v>0</v>
      </c>
      <c r="AJ56">
        <v>52</v>
      </c>
      <c r="AL56">
        <v>4</v>
      </c>
      <c r="AN56">
        <v>185</v>
      </c>
      <c r="AO56">
        <v>0</v>
      </c>
      <c r="AP56">
        <v>52</v>
      </c>
      <c r="AQ56">
        <v>4</v>
      </c>
      <c r="AR56">
        <v>0.158</v>
      </c>
      <c r="AS56">
        <v>5</v>
      </c>
      <c r="AU56">
        <v>3.1600000000000003E-2</v>
      </c>
    </row>
    <row r="57" spans="1:48" x14ac:dyDescent="0.3">
      <c r="A57" t="s">
        <v>92</v>
      </c>
      <c r="B57">
        <v>3039.9998719999999</v>
      </c>
      <c r="C57">
        <v>4.0202000000000002E-2</v>
      </c>
      <c r="D57">
        <v>73333</v>
      </c>
      <c r="E57">
        <v>302385</v>
      </c>
      <c r="F57">
        <v>9.2999999999999999E-2</v>
      </c>
      <c r="G57">
        <v>2.1999999999999999E-2</v>
      </c>
      <c r="H57">
        <v>40002</v>
      </c>
      <c r="I57">
        <v>0</v>
      </c>
      <c r="J57">
        <v>0</v>
      </c>
      <c r="K57">
        <v>1</v>
      </c>
      <c r="L57">
        <v>40002</v>
      </c>
      <c r="M57">
        <v>3039.9998719999999</v>
      </c>
      <c r="N57">
        <v>0.50416300000000003</v>
      </c>
      <c r="P57">
        <v>1</v>
      </c>
      <c r="R57">
        <v>43041.99987</v>
      </c>
      <c r="S57">
        <v>43041.99987</v>
      </c>
      <c r="U57">
        <v>1</v>
      </c>
      <c r="V57">
        <v>1</v>
      </c>
      <c r="W57">
        <v>1</v>
      </c>
      <c r="X57">
        <v>0</v>
      </c>
      <c r="Y57">
        <v>0</v>
      </c>
      <c r="Z57">
        <v>0</v>
      </c>
      <c r="AA57">
        <v>2.1999999999999999E-2</v>
      </c>
      <c r="AC57">
        <v>0.34896100000000002</v>
      </c>
      <c r="AE57">
        <v>1</v>
      </c>
      <c r="AF57">
        <v>10</v>
      </c>
      <c r="AH57">
        <v>0</v>
      </c>
      <c r="AJ57">
        <v>24</v>
      </c>
      <c r="AL57">
        <v>1</v>
      </c>
      <c r="AN57">
        <v>10</v>
      </c>
      <c r="AO57">
        <v>0</v>
      </c>
      <c r="AP57">
        <v>24</v>
      </c>
      <c r="AQ57">
        <v>1</v>
      </c>
      <c r="AR57">
        <v>6.2E-2</v>
      </c>
      <c r="AS57">
        <v>2</v>
      </c>
      <c r="AU57">
        <v>3.1E-2</v>
      </c>
    </row>
    <row r="58" spans="1:48" x14ac:dyDescent="0.3">
      <c r="A58" t="s">
        <v>93</v>
      </c>
      <c r="B58">
        <v>2999.9998270000001</v>
      </c>
      <c r="C58">
        <v>1.7468999999999998E-2</v>
      </c>
      <c r="D58">
        <v>12429</v>
      </c>
      <c r="E58">
        <v>38961</v>
      </c>
      <c r="F58">
        <v>8.9999999999999993E-3</v>
      </c>
      <c r="G58">
        <v>1E-3</v>
      </c>
      <c r="H58">
        <v>40002</v>
      </c>
      <c r="I58">
        <v>0</v>
      </c>
      <c r="J58">
        <v>0</v>
      </c>
      <c r="K58">
        <v>1</v>
      </c>
      <c r="L58">
        <v>40002</v>
      </c>
      <c r="M58">
        <v>2999.9998270000001</v>
      </c>
      <c r="N58">
        <v>0.95224699999999995</v>
      </c>
      <c r="P58">
        <v>1</v>
      </c>
      <c r="R58">
        <v>43001.999830000001</v>
      </c>
      <c r="S58">
        <v>43001.999830000001</v>
      </c>
      <c r="U58">
        <v>1</v>
      </c>
      <c r="V58">
        <v>1</v>
      </c>
      <c r="W58">
        <v>1</v>
      </c>
      <c r="X58">
        <v>0</v>
      </c>
      <c r="Y58">
        <v>0</v>
      </c>
      <c r="Z58">
        <v>0</v>
      </c>
      <c r="AA58">
        <v>1E-3</v>
      </c>
      <c r="AC58">
        <v>0.92477799999999999</v>
      </c>
      <c r="AE58">
        <v>1</v>
      </c>
      <c r="AF58">
        <v>25</v>
      </c>
      <c r="AH58">
        <v>0</v>
      </c>
      <c r="AJ58">
        <v>30</v>
      </c>
      <c r="AL58">
        <v>6</v>
      </c>
      <c r="AN58">
        <v>25</v>
      </c>
      <c r="AO58">
        <v>0</v>
      </c>
      <c r="AP58">
        <v>30</v>
      </c>
      <c r="AQ58">
        <v>6</v>
      </c>
      <c r="AR58">
        <v>0.248</v>
      </c>
      <c r="AS58">
        <v>8</v>
      </c>
      <c r="AU58">
        <v>3.1E-2</v>
      </c>
    </row>
    <row r="59" spans="1:48" x14ac:dyDescent="0.3">
      <c r="A59" t="s">
        <v>94</v>
      </c>
      <c r="B59">
        <v>3279.9994409999999</v>
      </c>
      <c r="C59">
        <v>4.9736000000000002E-2</v>
      </c>
      <c r="D59">
        <v>25490</v>
      </c>
      <c r="E59">
        <v>88481</v>
      </c>
      <c r="F59">
        <v>2.4E-2</v>
      </c>
      <c r="G59">
        <v>6.0000000000000001E-3</v>
      </c>
      <c r="H59">
        <v>50001</v>
      </c>
      <c r="I59">
        <v>0</v>
      </c>
      <c r="J59">
        <v>0</v>
      </c>
      <c r="K59">
        <v>1</v>
      </c>
      <c r="L59">
        <v>50001</v>
      </c>
      <c r="M59">
        <v>3279.9994409999999</v>
      </c>
      <c r="N59">
        <v>2.4448440000000002</v>
      </c>
      <c r="P59">
        <v>1</v>
      </c>
      <c r="R59">
        <v>53280.99944</v>
      </c>
      <c r="S59">
        <v>53280.99944</v>
      </c>
      <c r="U59">
        <v>1</v>
      </c>
      <c r="V59">
        <v>1</v>
      </c>
      <c r="W59">
        <v>1</v>
      </c>
      <c r="X59">
        <v>0</v>
      </c>
      <c r="Y59">
        <v>0</v>
      </c>
      <c r="Z59">
        <v>0</v>
      </c>
      <c r="AA59">
        <v>6.0000000000000001E-3</v>
      </c>
      <c r="AC59">
        <v>2.3651080000000002</v>
      </c>
      <c r="AE59">
        <v>1</v>
      </c>
      <c r="AF59">
        <v>1535</v>
      </c>
      <c r="AH59">
        <v>0</v>
      </c>
      <c r="AJ59">
        <v>34</v>
      </c>
      <c r="AL59">
        <v>1</v>
      </c>
      <c r="AN59">
        <v>1535</v>
      </c>
      <c r="AO59">
        <v>0</v>
      </c>
      <c r="AP59">
        <v>34</v>
      </c>
      <c r="AQ59">
        <v>1</v>
      </c>
      <c r="AR59">
        <v>0.152</v>
      </c>
      <c r="AS59">
        <v>2</v>
      </c>
      <c r="AU59">
        <v>7.5999999999999998E-2</v>
      </c>
    </row>
    <row r="60" spans="1:48" x14ac:dyDescent="0.3">
      <c r="A60" t="s">
        <v>95</v>
      </c>
      <c r="B60">
        <v>3119.9995309999999</v>
      </c>
      <c r="C60">
        <v>1.6447E-2</v>
      </c>
      <c r="D60">
        <v>35180</v>
      </c>
      <c r="E60">
        <v>126565</v>
      </c>
      <c r="F60">
        <v>3.6999999999999998E-2</v>
      </c>
      <c r="G60">
        <v>8.9999999999999993E-3</v>
      </c>
      <c r="H60">
        <v>40001</v>
      </c>
      <c r="I60">
        <v>0</v>
      </c>
      <c r="J60">
        <v>0</v>
      </c>
      <c r="K60">
        <v>1</v>
      </c>
      <c r="L60">
        <v>40001</v>
      </c>
      <c r="M60">
        <v>3119.9995309999999</v>
      </c>
      <c r="N60">
        <v>0.98632600000000004</v>
      </c>
      <c r="P60">
        <v>1</v>
      </c>
      <c r="R60">
        <v>43120.999530000001</v>
      </c>
      <c r="S60">
        <v>43120.999530000001</v>
      </c>
      <c r="U60">
        <v>1</v>
      </c>
      <c r="V60">
        <v>1</v>
      </c>
      <c r="W60">
        <v>1</v>
      </c>
      <c r="X60">
        <v>0</v>
      </c>
      <c r="Y60">
        <v>0</v>
      </c>
      <c r="Z60">
        <v>0</v>
      </c>
      <c r="AA60">
        <v>8.9999999999999993E-3</v>
      </c>
      <c r="AC60">
        <v>0.92387900000000001</v>
      </c>
      <c r="AE60">
        <v>1</v>
      </c>
      <c r="AF60">
        <v>186</v>
      </c>
      <c r="AH60">
        <v>0</v>
      </c>
      <c r="AJ60">
        <v>41</v>
      </c>
      <c r="AL60">
        <v>1</v>
      </c>
      <c r="AN60">
        <v>186</v>
      </c>
      <c r="AO60">
        <v>0</v>
      </c>
      <c r="AP60">
        <v>41</v>
      </c>
      <c r="AQ60">
        <v>1</v>
      </c>
      <c r="AR60">
        <v>7.9000000000000001E-2</v>
      </c>
      <c r="AS60">
        <v>3</v>
      </c>
      <c r="AU60">
        <v>2.6332999999999999E-2</v>
      </c>
    </row>
    <row r="61" spans="1:48" s="1" customFormat="1" x14ac:dyDescent="0.3">
      <c r="A61" s="1" t="s">
        <v>96</v>
      </c>
      <c r="B61" s="1">
        <v>3200.0002439999998</v>
      </c>
      <c r="C61" s="1">
        <v>1.4878000000000001E-2</v>
      </c>
      <c r="D61" s="1">
        <v>26231</v>
      </c>
      <c r="E61" s="1">
        <v>89948</v>
      </c>
      <c r="F61" s="1">
        <v>2.5999999999999999E-2</v>
      </c>
      <c r="G61" s="1">
        <v>5.0000000000000001E-3</v>
      </c>
      <c r="H61" s="1">
        <v>50001</v>
      </c>
      <c r="I61" s="1">
        <v>0</v>
      </c>
      <c r="J61" s="1">
        <v>0</v>
      </c>
      <c r="K61" s="1">
        <v>1</v>
      </c>
      <c r="L61" s="1">
        <v>50001</v>
      </c>
      <c r="M61" s="1">
        <v>3200.0002439999998</v>
      </c>
      <c r="N61" s="1">
        <v>3.1599390000000001</v>
      </c>
      <c r="P61" s="1">
        <v>1</v>
      </c>
      <c r="R61" s="1">
        <v>53201.000240000001</v>
      </c>
      <c r="S61" s="1">
        <v>53201.000240000001</v>
      </c>
      <c r="U61" s="1">
        <v>1</v>
      </c>
      <c r="V61" s="1">
        <v>1</v>
      </c>
      <c r="W61" s="1">
        <v>1</v>
      </c>
      <c r="X61" s="1">
        <v>0</v>
      </c>
      <c r="Y61" s="1">
        <v>0</v>
      </c>
      <c r="Z61" s="1">
        <v>0</v>
      </c>
      <c r="AA61" s="1">
        <v>5.0000000000000001E-3</v>
      </c>
      <c r="AC61" s="1">
        <v>3.114061</v>
      </c>
      <c r="AE61" s="1">
        <v>1</v>
      </c>
      <c r="AF61" s="1">
        <v>1337</v>
      </c>
      <c r="AH61" s="1">
        <v>0</v>
      </c>
      <c r="AJ61" s="1">
        <v>205</v>
      </c>
      <c r="AL61" s="1">
        <v>11</v>
      </c>
      <c r="AN61" s="1">
        <v>1337</v>
      </c>
      <c r="AO61" s="1">
        <v>0</v>
      </c>
      <c r="AP61" s="1">
        <v>205</v>
      </c>
      <c r="AQ61" s="1">
        <v>11</v>
      </c>
      <c r="AR61" s="1">
        <v>1.1919999999999999</v>
      </c>
      <c r="AS61" s="1">
        <v>12</v>
      </c>
      <c r="AU61" s="1">
        <v>9.9333000000000005E-2</v>
      </c>
    </row>
    <row r="62" spans="1:48" x14ac:dyDescent="0.3">
      <c r="A62" t="s">
        <v>97</v>
      </c>
      <c r="B62">
        <v>4453.3329009999998</v>
      </c>
      <c r="C62">
        <v>2.1146000000000002E-2</v>
      </c>
      <c r="D62">
        <v>420480</v>
      </c>
      <c r="E62">
        <v>1823407</v>
      </c>
      <c r="F62">
        <v>0.63100000000000001</v>
      </c>
      <c r="G62">
        <v>0.14299999999999999</v>
      </c>
      <c r="H62">
        <v>60001</v>
      </c>
      <c r="I62">
        <v>0</v>
      </c>
      <c r="J62">
        <v>0</v>
      </c>
      <c r="K62">
        <v>1</v>
      </c>
      <c r="L62">
        <v>60001</v>
      </c>
      <c r="M62">
        <v>4453.3331420000004</v>
      </c>
      <c r="N62">
        <v>4.698448</v>
      </c>
      <c r="O62">
        <v>11.414247899999998</v>
      </c>
      <c r="P62">
        <v>1</v>
      </c>
      <c r="Q62">
        <f>AVERAGE(P62:P91)</f>
        <v>1</v>
      </c>
      <c r="R62">
        <v>64454.333140000002</v>
      </c>
      <c r="S62">
        <v>64454.332900000001</v>
      </c>
      <c r="T62">
        <f>SUM(U62:U91)</f>
        <v>30</v>
      </c>
      <c r="U62">
        <v>1</v>
      </c>
      <c r="V62">
        <v>1</v>
      </c>
      <c r="W62">
        <v>1</v>
      </c>
      <c r="X62">
        <v>0</v>
      </c>
      <c r="Y62">
        <v>0</v>
      </c>
      <c r="Z62">
        <v>0</v>
      </c>
      <c r="AA62">
        <v>0.14299999999999999</v>
      </c>
      <c r="AB62">
        <f>AVERAGE(AA62:AA91)</f>
        <v>0.14236666666666667</v>
      </c>
      <c r="AC62">
        <v>3.903302</v>
      </c>
      <c r="AD62">
        <f>AVERAGE(AC62:AC91)</f>
        <v>10.661002033333331</v>
      </c>
      <c r="AE62">
        <v>1</v>
      </c>
      <c r="AF62">
        <v>66</v>
      </c>
      <c r="AG62">
        <f>AVERAGE(AF62:AF91)</f>
        <v>1888.6333333333334</v>
      </c>
      <c r="AH62">
        <v>0</v>
      </c>
      <c r="AI62">
        <f>AVERAGE(AH62:AH91)</f>
        <v>0</v>
      </c>
      <c r="AJ62">
        <v>92</v>
      </c>
      <c r="AK62">
        <f>AVERAGE(AJ62:AJ91)</f>
        <v>255.26666666666668</v>
      </c>
      <c r="AL62">
        <v>6</v>
      </c>
      <c r="AM62">
        <f>AVERAGE(AL62:AL91)</f>
        <v>20.6</v>
      </c>
      <c r="AN62">
        <v>66</v>
      </c>
      <c r="AO62">
        <v>0</v>
      </c>
      <c r="AP62">
        <v>92</v>
      </c>
      <c r="AQ62">
        <v>6</v>
      </c>
      <c r="AR62">
        <v>1.552</v>
      </c>
      <c r="AS62">
        <v>7</v>
      </c>
      <c r="AT62">
        <f>AVERAGE(AS62:AS91)</f>
        <v>21.866666666666667</v>
      </c>
      <c r="AU62">
        <v>0.22171399999999999</v>
      </c>
      <c r="AV62">
        <f>AVERAGE(AU62:AU91)</f>
        <v>0.17669903333333331</v>
      </c>
    </row>
    <row r="63" spans="1:48" x14ac:dyDescent="0.3">
      <c r="A63" t="s">
        <v>98</v>
      </c>
      <c r="B63">
        <v>4573.3333709999997</v>
      </c>
      <c r="C63">
        <v>2.5211000000000001E-2</v>
      </c>
      <c r="D63">
        <v>790426</v>
      </c>
      <c r="E63">
        <v>3648162</v>
      </c>
      <c r="F63">
        <v>1.37</v>
      </c>
      <c r="G63">
        <v>0.316</v>
      </c>
      <c r="H63">
        <v>60001</v>
      </c>
      <c r="I63">
        <v>0</v>
      </c>
      <c r="J63">
        <v>0</v>
      </c>
      <c r="K63">
        <v>1</v>
      </c>
      <c r="L63">
        <v>60001</v>
      </c>
      <c r="M63">
        <v>4573.3333460000003</v>
      </c>
      <c r="N63">
        <v>10.062715000000001</v>
      </c>
      <c r="P63">
        <v>1</v>
      </c>
      <c r="R63">
        <v>64574.333350000001</v>
      </c>
      <c r="S63">
        <v>64574.33337</v>
      </c>
      <c r="U63">
        <v>1</v>
      </c>
      <c r="V63">
        <v>1</v>
      </c>
      <c r="W63">
        <v>1</v>
      </c>
      <c r="X63">
        <v>0</v>
      </c>
      <c r="Y63">
        <v>0</v>
      </c>
      <c r="Z63">
        <v>0</v>
      </c>
      <c r="AA63">
        <v>0.316</v>
      </c>
      <c r="AC63">
        <v>8.3515040000000003</v>
      </c>
      <c r="AE63">
        <v>1</v>
      </c>
      <c r="AF63">
        <v>82</v>
      </c>
      <c r="AH63">
        <v>0</v>
      </c>
      <c r="AJ63">
        <v>45</v>
      </c>
      <c r="AL63">
        <v>0</v>
      </c>
      <c r="AN63">
        <v>82</v>
      </c>
      <c r="AO63">
        <v>0</v>
      </c>
      <c r="AP63">
        <v>45</v>
      </c>
      <c r="AQ63">
        <v>0</v>
      </c>
      <c r="AR63">
        <v>0.77800000000000002</v>
      </c>
      <c r="AS63">
        <v>3</v>
      </c>
      <c r="AU63">
        <v>0.25933299999999998</v>
      </c>
    </row>
    <row r="64" spans="1:48" x14ac:dyDescent="0.3">
      <c r="A64" t="s">
        <v>99</v>
      </c>
      <c r="B64">
        <v>4799.9997080000003</v>
      </c>
      <c r="C64">
        <v>2.6091E-2</v>
      </c>
      <c r="D64">
        <v>637656</v>
      </c>
      <c r="E64">
        <v>2891376</v>
      </c>
      <c r="F64">
        <v>1.0740000000000001</v>
      </c>
      <c r="G64">
        <v>0.24399999999999999</v>
      </c>
      <c r="H64">
        <v>60001</v>
      </c>
      <c r="I64">
        <v>0</v>
      </c>
      <c r="J64">
        <v>0</v>
      </c>
      <c r="K64">
        <v>1</v>
      </c>
      <c r="L64">
        <v>60001</v>
      </c>
      <c r="M64">
        <v>4799.9996819999997</v>
      </c>
      <c r="N64">
        <v>11.067607000000001</v>
      </c>
      <c r="P64">
        <v>1</v>
      </c>
      <c r="R64">
        <v>64800.999680000001</v>
      </c>
      <c r="S64">
        <v>64800.999709999996</v>
      </c>
      <c r="U64">
        <v>1</v>
      </c>
      <c r="V64">
        <v>1</v>
      </c>
      <c r="W64">
        <v>1</v>
      </c>
      <c r="X64">
        <v>0</v>
      </c>
      <c r="Y64">
        <v>0</v>
      </c>
      <c r="Z64">
        <v>0</v>
      </c>
      <c r="AA64">
        <v>0.24399999999999999</v>
      </c>
      <c r="AC64">
        <v>9.723516</v>
      </c>
      <c r="AE64">
        <v>1</v>
      </c>
      <c r="AF64">
        <v>1094</v>
      </c>
      <c r="AH64">
        <v>0</v>
      </c>
      <c r="AJ64">
        <v>279</v>
      </c>
      <c r="AL64">
        <v>39</v>
      </c>
      <c r="AN64">
        <v>1094</v>
      </c>
      <c r="AO64">
        <v>0</v>
      </c>
      <c r="AP64">
        <v>279</v>
      </c>
      <c r="AQ64">
        <v>39</v>
      </c>
      <c r="AR64">
        <v>5.3339999999999996</v>
      </c>
      <c r="AS64">
        <v>41</v>
      </c>
      <c r="AU64">
        <v>0.13009799999999999</v>
      </c>
    </row>
    <row r="65" spans="1:47" x14ac:dyDescent="0.3">
      <c r="A65" t="s">
        <v>100</v>
      </c>
      <c r="B65">
        <v>4719.9995220000001</v>
      </c>
      <c r="C65">
        <v>2.6459E-2</v>
      </c>
      <c r="D65">
        <v>219731</v>
      </c>
      <c r="E65">
        <v>858285</v>
      </c>
      <c r="F65">
        <v>0.27800000000000002</v>
      </c>
      <c r="G65">
        <v>7.5999999999999998E-2</v>
      </c>
      <c r="H65">
        <v>60001</v>
      </c>
      <c r="I65">
        <v>0</v>
      </c>
      <c r="J65">
        <v>0</v>
      </c>
      <c r="K65">
        <v>1</v>
      </c>
      <c r="L65">
        <v>60001</v>
      </c>
      <c r="M65">
        <v>4719.9992350000002</v>
      </c>
      <c r="N65">
        <v>33.678304000000004</v>
      </c>
      <c r="P65">
        <v>1</v>
      </c>
      <c r="R65">
        <v>64720.999239999997</v>
      </c>
      <c r="S65">
        <v>64720.999519999998</v>
      </c>
      <c r="U65">
        <v>1</v>
      </c>
      <c r="V65">
        <v>1</v>
      </c>
      <c r="W65">
        <v>1</v>
      </c>
      <c r="X65">
        <v>0</v>
      </c>
      <c r="Y65">
        <v>0</v>
      </c>
      <c r="Z65">
        <v>0</v>
      </c>
      <c r="AA65">
        <v>7.5999999999999998E-2</v>
      </c>
      <c r="AC65">
        <v>33.297845000000002</v>
      </c>
      <c r="AE65">
        <v>1</v>
      </c>
      <c r="AF65">
        <v>5057</v>
      </c>
      <c r="AH65">
        <v>0</v>
      </c>
      <c r="AJ65">
        <v>433</v>
      </c>
      <c r="AL65">
        <v>1</v>
      </c>
      <c r="AN65">
        <v>5057</v>
      </c>
      <c r="AO65">
        <v>0</v>
      </c>
      <c r="AP65">
        <v>433</v>
      </c>
      <c r="AQ65">
        <v>1</v>
      </c>
      <c r="AR65">
        <v>0.20599999999999999</v>
      </c>
      <c r="AS65">
        <v>2</v>
      </c>
      <c r="AU65">
        <v>0.10299999999999999</v>
      </c>
    </row>
    <row r="66" spans="1:47" x14ac:dyDescent="0.3">
      <c r="A66" t="s">
        <v>101</v>
      </c>
      <c r="B66">
        <v>4576.6661260000001</v>
      </c>
      <c r="C66">
        <v>2.4632000000000001E-2</v>
      </c>
      <c r="D66">
        <v>193058</v>
      </c>
      <c r="E66">
        <v>745015</v>
      </c>
      <c r="F66">
        <v>0.24299999999999999</v>
      </c>
      <c r="G66">
        <v>7.0999999999999994E-2</v>
      </c>
      <c r="H66">
        <v>60002</v>
      </c>
      <c r="I66">
        <v>0</v>
      </c>
      <c r="J66">
        <v>0</v>
      </c>
      <c r="K66">
        <v>1</v>
      </c>
      <c r="L66">
        <v>60002</v>
      </c>
      <c r="M66">
        <v>4576.6660910000001</v>
      </c>
      <c r="N66">
        <v>4.9510109999999994</v>
      </c>
      <c r="P66">
        <v>1</v>
      </c>
      <c r="R66">
        <v>64578.666089999999</v>
      </c>
      <c r="S66">
        <v>64578.666129999998</v>
      </c>
      <c r="U66">
        <v>1</v>
      </c>
      <c r="V66">
        <v>1</v>
      </c>
      <c r="W66">
        <v>1</v>
      </c>
      <c r="X66">
        <v>0</v>
      </c>
      <c r="Y66">
        <v>0</v>
      </c>
      <c r="Z66">
        <v>0</v>
      </c>
      <c r="AA66">
        <v>7.0999999999999994E-2</v>
      </c>
      <c r="AC66">
        <v>4.6123789999999998</v>
      </c>
      <c r="AE66">
        <v>1</v>
      </c>
      <c r="AF66">
        <v>32</v>
      </c>
      <c r="AH66">
        <v>0</v>
      </c>
      <c r="AJ66">
        <v>38</v>
      </c>
      <c r="AL66">
        <v>17</v>
      </c>
      <c r="AN66">
        <v>32</v>
      </c>
      <c r="AO66">
        <v>0</v>
      </c>
      <c r="AP66">
        <v>38</v>
      </c>
      <c r="AQ66">
        <v>17</v>
      </c>
      <c r="AR66">
        <v>2.9830000000000001</v>
      </c>
      <c r="AS66">
        <v>18</v>
      </c>
      <c r="AU66">
        <v>0.16572200000000001</v>
      </c>
    </row>
    <row r="67" spans="1:47" x14ac:dyDescent="0.3">
      <c r="A67" t="s">
        <v>102</v>
      </c>
      <c r="B67">
        <v>4453.3329009999998</v>
      </c>
      <c r="C67">
        <v>2.1139999999999999E-2</v>
      </c>
      <c r="D67">
        <v>230840</v>
      </c>
      <c r="E67">
        <v>906162</v>
      </c>
      <c r="F67">
        <v>0.29699999999999999</v>
      </c>
      <c r="G67">
        <v>7.8E-2</v>
      </c>
      <c r="H67">
        <v>60001</v>
      </c>
      <c r="I67">
        <v>0</v>
      </c>
      <c r="J67">
        <v>0</v>
      </c>
      <c r="K67">
        <v>1</v>
      </c>
      <c r="L67">
        <v>60001</v>
      </c>
      <c r="M67">
        <v>4453.3330919999999</v>
      </c>
      <c r="N67">
        <v>2.6041829999999999</v>
      </c>
      <c r="P67">
        <v>1</v>
      </c>
      <c r="R67">
        <v>64454.33309</v>
      </c>
      <c r="S67">
        <v>64454.332900000001</v>
      </c>
      <c r="U67">
        <v>1</v>
      </c>
      <c r="V67">
        <v>1</v>
      </c>
      <c r="W67">
        <v>1</v>
      </c>
      <c r="X67">
        <v>0</v>
      </c>
      <c r="Y67">
        <v>0</v>
      </c>
      <c r="Z67">
        <v>0</v>
      </c>
      <c r="AA67">
        <v>7.8E-2</v>
      </c>
      <c r="AC67">
        <v>2.208043</v>
      </c>
      <c r="AE67">
        <v>1</v>
      </c>
      <c r="AF67">
        <v>258</v>
      </c>
      <c r="AH67">
        <v>0</v>
      </c>
      <c r="AJ67">
        <v>79</v>
      </c>
      <c r="AL67">
        <v>4</v>
      </c>
      <c r="AN67">
        <v>258</v>
      </c>
      <c r="AO67">
        <v>0</v>
      </c>
      <c r="AP67">
        <v>79</v>
      </c>
      <c r="AQ67">
        <v>4</v>
      </c>
      <c r="AR67">
        <v>0.65300000000000002</v>
      </c>
      <c r="AS67">
        <v>5</v>
      </c>
      <c r="AU67">
        <v>0.13059999999999999</v>
      </c>
    </row>
    <row r="68" spans="1:47" x14ac:dyDescent="0.3">
      <c r="A68" t="s">
        <v>103</v>
      </c>
      <c r="B68">
        <v>4829.9997030000004</v>
      </c>
      <c r="C68">
        <v>3.0664E-2</v>
      </c>
      <c r="D68">
        <v>92808</v>
      </c>
      <c r="E68">
        <v>328829</v>
      </c>
      <c r="F68">
        <v>0.10100000000000001</v>
      </c>
      <c r="G68">
        <v>2.9000000000000001E-2</v>
      </c>
      <c r="H68">
        <v>70001</v>
      </c>
      <c r="I68">
        <v>0</v>
      </c>
      <c r="J68">
        <v>0</v>
      </c>
      <c r="K68">
        <v>1</v>
      </c>
      <c r="L68">
        <v>70001</v>
      </c>
      <c r="M68">
        <v>4829.9999699999998</v>
      </c>
      <c r="N68">
        <v>2.5715479999999999</v>
      </c>
      <c r="P68">
        <v>1</v>
      </c>
      <c r="R68">
        <v>74830.999970000004</v>
      </c>
      <c r="S68">
        <v>74830.9997</v>
      </c>
      <c r="U68">
        <v>1</v>
      </c>
      <c r="V68">
        <v>1</v>
      </c>
      <c r="W68">
        <v>1</v>
      </c>
      <c r="X68">
        <v>0</v>
      </c>
      <c r="Y68">
        <v>0</v>
      </c>
      <c r="Z68">
        <v>0</v>
      </c>
      <c r="AA68">
        <v>2.9000000000000001E-2</v>
      </c>
      <c r="AC68">
        <v>2.4108839999999998</v>
      </c>
      <c r="AE68">
        <v>1</v>
      </c>
      <c r="AF68">
        <v>94</v>
      </c>
      <c r="AH68">
        <v>0</v>
      </c>
      <c r="AJ68">
        <v>47</v>
      </c>
      <c r="AL68">
        <v>0</v>
      </c>
      <c r="AN68">
        <v>94</v>
      </c>
      <c r="AO68">
        <v>0</v>
      </c>
      <c r="AP68">
        <v>47</v>
      </c>
      <c r="AQ68">
        <v>0</v>
      </c>
      <c r="AR68">
        <v>0.37</v>
      </c>
      <c r="AS68">
        <v>1</v>
      </c>
      <c r="AU68">
        <v>0.37</v>
      </c>
    </row>
    <row r="69" spans="1:47" x14ac:dyDescent="0.3">
      <c r="A69" t="s">
        <v>104</v>
      </c>
      <c r="B69">
        <v>4410.0003109999998</v>
      </c>
      <c r="C69">
        <v>3.2802999999999999E-2</v>
      </c>
      <c r="D69">
        <v>260323</v>
      </c>
      <c r="E69">
        <v>1028185</v>
      </c>
      <c r="F69">
        <v>0.34699999999999998</v>
      </c>
      <c r="G69">
        <v>8.5999999999999993E-2</v>
      </c>
      <c r="H69">
        <v>60002</v>
      </c>
      <c r="I69">
        <v>0</v>
      </c>
      <c r="J69">
        <v>0</v>
      </c>
      <c r="K69">
        <v>1</v>
      </c>
      <c r="L69">
        <v>60002</v>
      </c>
      <c r="M69">
        <v>4410.0003109999998</v>
      </c>
      <c r="N69">
        <v>2.7211790000000002</v>
      </c>
      <c r="P69">
        <v>1</v>
      </c>
      <c r="R69">
        <v>64412.000310000003</v>
      </c>
      <c r="S69">
        <v>64412.000310000003</v>
      </c>
      <c r="U69">
        <v>1</v>
      </c>
      <c r="V69">
        <v>1</v>
      </c>
      <c r="W69">
        <v>1</v>
      </c>
      <c r="X69">
        <v>0</v>
      </c>
      <c r="Y69">
        <v>0</v>
      </c>
      <c r="Z69">
        <v>0</v>
      </c>
      <c r="AA69">
        <v>8.5999999999999993E-2</v>
      </c>
      <c r="AC69">
        <v>2.255376</v>
      </c>
      <c r="AE69">
        <v>1</v>
      </c>
      <c r="AF69">
        <v>445</v>
      </c>
      <c r="AH69">
        <v>0</v>
      </c>
      <c r="AJ69">
        <v>20</v>
      </c>
      <c r="AL69">
        <v>0</v>
      </c>
      <c r="AN69">
        <v>445</v>
      </c>
      <c r="AO69">
        <v>0</v>
      </c>
      <c r="AP69">
        <v>20</v>
      </c>
      <c r="AQ69">
        <v>0</v>
      </c>
      <c r="AR69">
        <v>0.11899999999999999</v>
      </c>
      <c r="AS69">
        <v>1</v>
      </c>
      <c r="AU69">
        <v>0.11899999999999999</v>
      </c>
    </row>
    <row r="70" spans="1:47" x14ac:dyDescent="0.3">
      <c r="A70" t="s">
        <v>105</v>
      </c>
      <c r="B70">
        <v>4610.000223</v>
      </c>
      <c r="C70">
        <v>3.1380999999999999E-2</v>
      </c>
      <c r="D70">
        <v>481336</v>
      </c>
      <c r="E70">
        <v>2129664</v>
      </c>
      <c r="F70">
        <v>0.77100000000000002</v>
      </c>
      <c r="G70">
        <v>0.17499999999999999</v>
      </c>
      <c r="H70">
        <v>60001</v>
      </c>
      <c r="I70">
        <v>0</v>
      </c>
      <c r="J70">
        <v>0</v>
      </c>
      <c r="K70">
        <v>1</v>
      </c>
      <c r="L70">
        <v>60001</v>
      </c>
      <c r="M70">
        <v>4610.000223</v>
      </c>
      <c r="N70">
        <v>6.387753</v>
      </c>
      <c r="P70">
        <v>1</v>
      </c>
      <c r="R70">
        <v>64611.000220000002</v>
      </c>
      <c r="S70">
        <v>64611.000220000002</v>
      </c>
      <c r="U70">
        <v>1</v>
      </c>
      <c r="V70">
        <v>1</v>
      </c>
      <c r="W70">
        <v>1</v>
      </c>
      <c r="X70">
        <v>0</v>
      </c>
      <c r="Y70">
        <v>0</v>
      </c>
      <c r="Z70">
        <v>0</v>
      </c>
      <c r="AA70">
        <v>0.17499999999999999</v>
      </c>
      <c r="AC70">
        <v>5.4103719999999997</v>
      </c>
      <c r="AE70">
        <v>1</v>
      </c>
      <c r="AF70">
        <v>1707</v>
      </c>
      <c r="AH70">
        <v>0</v>
      </c>
      <c r="AJ70">
        <v>174</v>
      </c>
      <c r="AL70">
        <v>0</v>
      </c>
      <c r="AN70">
        <v>1707</v>
      </c>
      <c r="AO70">
        <v>0</v>
      </c>
      <c r="AP70">
        <v>174</v>
      </c>
      <c r="AQ70">
        <v>0</v>
      </c>
      <c r="AR70">
        <v>0.125</v>
      </c>
      <c r="AS70">
        <v>1</v>
      </c>
      <c r="AU70">
        <v>0.125</v>
      </c>
    </row>
    <row r="71" spans="1:47" x14ac:dyDescent="0.3">
      <c r="A71" t="s">
        <v>106</v>
      </c>
      <c r="B71">
        <v>4506.6667260000004</v>
      </c>
      <c r="C71">
        <v>2.7883000000000002E-2</v>
      </c>
      <c r="D71">
        <v>222381</v>
      </c>
      <c r="E71">
        <v>923684</v>
      </c>
      <c r="F71">
        <v>0.30399999999999999</v>
      </c>
      <c r="G71">
        <v>0.111</v>
      </c>
      <c r="H71">
        <v>60002</v>
      </c>
      <c r="I71">
        <v>0</v>
      </c>
      <c r="J71">
        <v>0</v>
      </c>
      <c r="K71">
        <v>1</v>
      </c>
      <c r="L71">
        <v>60002</v>
      </c>
      <c r="M71">
        <v>4506.6668209999998</v>
      </c>
      <c r="N71">
        <v>6.7328710000000003</v>
      </c>
      <c r="P71">
        <v>1</v>
      </c>
      <c r="R71">
        <v>64508.666819999999</v>
      </c>
      <c r="S71">
        <v>64508.666729999997</v>
      </c>
      <c r="U71">
        <v>1</v>
      </c>
      <c r="V71">
        <v>1</v>
      </c>
      <c r="W71">
        <v>1</v>
      </c>
      <c r="X71">
        <v>0</v>
      </c>
      <c r="Y71">
        <v>0</v>
      </c>
      <c r="Z71">
        <v>0</v>
      </c>
      <c r="AA71">
        <v>0.111</v>
      </c>
      <c r="AC71">
        <v>6.2899880000000001</v>
      </c>
      <c r="AE71">
        <v>1</v>
      </c>
      <c r="AF71">
        <v>850</v>
      </c>
      <c r="AH71">
        <v>0</v>
      </c>
      <c r="AJ71">
        <v>177</v>
      </c>
      <c r="AL71">
        <v>13</v>
      </c>
      <c r="AN71">
        <v>850</v>
      </c>
      <c r="AO71">
        <v>0</v>
      </c>
      <c r="AP71">
        <v>177</v>
      </c>
      <c r="AQ71">
        <v>13</v>
      </c>
      <c r="AR71">
        <v>3.0750000000000002</v>
      </c>
      <c r="AS71">
        <v>14</v>
      </c>
      <c r="AU71">
        <v>0.219643</v>
      </c>
    </row>
    <row r="72" spans="1:47" x14ac:dyDescent="0.3">
      <c r="A72" t="s">
        <v>107</v>
      </c>
      <c r="B72">
        <v>4949.999452</v>
      </c>
      <c r="C72">
        <v>2.4663999999999998E-2</v>
      </c>
      <c r="D72">
        <v>541416</v>
      </c>
      <c r="E72">
        <v>2427874</v>
      </c>
      <c r="F72">
        <v>0.877</v>
      </c>
      <c r="G72">
        <v>0.21</v>
      </c>
      <c r="H72">
        <v>70001</v>
      </c>
      <c r="I72">
        <v>0</v>
      </c>
      <c r="J72">
        <v>0</v>
      </c>
      <c r="K72">
        <v>1</v>
      </c>
      <c r="L72">
        <v>70001</v>
      </c>
      <c r="M72">
        <v>4949.9994459999998</v>
      </c>
      <c r="N72">
        <v>8.4444160000000004</v>
      </c>
      <c r="P72">
        <v>1</v>
      </c>
      <c r="R72">
        <v>74950.999450000003</v>
      </c>
      <c r="S72">
        <v>74950.999450000003</v>
      </c>
      <c r="U72">
        <v>1</v>
      </c>
      <c r="V72">
        <v>1</v>
      </c>
      <c r="W72">
        <v>1</v>
      </c>
      <c r="X72">
        <v>0</v>
      </c>
      <c r="Y72">
        <v>0</v>
      </c>
      <c r="Z72">
        <v>0</v>
      </c>
      <c r="AA72">
        <v>0.21</v>
      </c>
      <c r="AC72">
        <v>7.3327520000000002</v>
      </c>
      <c r="AE72">
        <v>1</v>
      </c>
      <c r="AF72">
        <v>2287</v>
      </c>
      <c r="AH72">
        <v>0</v>
      </c>
      <c r="AJ72">
        <v>380</v>
      </c>
      <c r="AL72">
        <v>8</v>
      </c>
      <c r="AN72">
        <v>2287</v>
      </c>
      <c r="AO72">
        <v>0</v>
      </c>
      <c r="AP72">
        <v>380</v>
      </c>
      <c r="AQ72">
        <v>8</v>
      </c>
      <c r="AR72">
        <v>1.476</v>
      </c>
      <c r="AS72">
        <v>10</v>
      </c>
      <c r="AU72">
        <v>0.14760000000000001</v>
      </c>
    </row>
    <row r="73" spans="1:47" x14ac:dyDescent="0.3">
      <c r="A73" t="s">
        <v>108</v>
      </c>
      <c r="B73">
        <v>4546.6665860000003</v>
      </c>
      <c r="C73">
        <v>6.6285999999999998E-2</v>
      </c>
      <c r="D73">
        <v>382533</v>
      </c>
      <c r="E73">
        <v>1684428</v>
      </c>
      <c r="F73">
        <v>0.59799999999999998</v>
      </c>
      <c r="G73">
        <v>0.13600000000000001</v>
      </c>
      <c r="H73">
        <v>60001</v>
      </c>
      <c r="I73">
        <v>0</v>
      </c>
      <c r="J73">
        <v>0</v>
      </c>
      <c r="K73">
        <v>1</v>
      </c>
      <c r="L73">
        <v>60001</v>
      </c>
      <c r="M73">
        <v>4546.6665629999998</v>
      </c>
      <c r="N73">
        <v>11.340883</v>
      </c>
      <c r="P73">
        <v>1</v>
      </c>
      <c r="R73">
        <v>64547.666559999998</v>
      </c>
      <c r="S73">
        <v>64547.666590000001</v>
      </c>
      <c r="U73">
        <v>1</v>
      </c>
      <c r="V73">
        <v>1</v>
      </c>
      <c r="W73">
        <v>1</v>
      </c>
      <c r="X73">
        <v>0</v>
      </c>
      <c r="Y73">
        <v>0</v>
      </c>
      <c r="Z73">
        <v>0</v>
      </c>
      <c r="AA73">
        <v>0.13600000000000001</v>
      </c>
      <c r="AC73">
        <v>10.540597</v>
      </c>
      <c r="AE73">
        <v>1</v>
      </c>
      <c r="AF73">
        <v>3724</v>
      </c>
      <c r="AH73">
        <v>0</v>
      </c>
      <c r="AJ73">
        <v>544</v>
      </c>
      <c r="AL73">
        <v>1</v>
      </c>
      <c r="AN73">
        <v>3724</v>
      </c>
      <c r="AO73">
        <v>0</v>
      </c>
      <c r="AP73">
        <v>544</v>
      </c>
      <c r="AQ73">
        <v>1</v>
      </c>
      <c r="AR73">
        <v>0.26700000000000002</v>
      </c>
      <c r="AS73">
        <v>2</v>
      </c>
      <c r="AU73">
        <v>0.13350000000000001</v>
      </c>
    </row>
    <row r="74" spans="1:47" x14ac:dyDescent="0.3">
      <c r="A74" t="s">
        <v>109</v>
      </c>
      <c r="B74">
        <v>4423.3330669999996</v>
      </c>
      <c r="C74">
        <v>3.5219E-2</v>
      </c>
      <c r="D74">
        <v>180099</v>
      </c>
      <c r="E74">
        <v>689525</v>
      </c>
      <c r="F74">
        <v>0.224</v>
      </c>
      <c r="G74">
        <v>7.0000000000000007E-2</v>
      </c>
      <c r="H74">
        <v>70002</v>
      </c>
      <c r="I74">
        <v>0</v>
      </c>
      <c r="J74">
        <v>0</v>
      </c>
      <c r="K74">
        <v>1</v>
      </c>
      <c r="L74">
        <v>70002</v>
      </c>
      <c r="M74">
        <v>4423.3330310000001</v>
      </c>
      <c r="N74">
        <v>16.681092999999997</v>
      </c>
      <c r="P74">
        <v>1</v>
      </c>
      <c r="R74">
        <v>74425.333029999994</v>
      </c>
      <c r="S74">
        <v>74425.333069999993</v>
      </c>
      <c r="U74">
        <v>1</v>
      </c>
      <c r="V74">
        <v>1</v>
      </c>
      <c r="W74">
        <v>1</v>
      </c>
      <c r="X74">
        <v>0</v>
      </c>
      <c r="Y74">
        <v>0</v>
      </c>
      <c r="Z74">
        <v>0</v>
      </c>
      <c r="AA74">
        <v>7.0000000000000007E-2</v>
      </c>
      <c r="AC74">
        <v>16.351873999999999</v>
      </c>
      <c r="AE74">
        <v>1</v>
      </c>
      <c r="AF74">
        <v>559</v>
      </c>
      <c r="AH74">
        <v>0</v>
      </c>
      <c r="AJ74">
        <v>406</v>
      </c>
      <c r="AL74">
        <v>5</v>
      </c>
      <c r="AN74">
        <v>559</v>
      </c>
      <c r="AO74">
        <v>0</v>
      </c>
      <c r="AP74">
        <v>406</v>
      </c>
      <c r="AQ74">
        <v>5</v>
      </c>
      <c r="AR74">
        <v>1.024</v>
      </c>
      <c r="AS74">
        <v>6</v>
      </c>
      <c r="AU74">
        <v>0.17066700000000001</v>
      </c>
    </row>
    <row r="75" spans="1:47" x14ac:dyDescent="0.3">
      <c r="A75" t="s">
        <v>110</v>
      </c>
      <c r="B75">
        <v>4439.999965</v>
      </c>
      <c r="C75">
        <v>2.2859999999999998E-2</v>
      </c>
      <c r="D75">
        <v>144025</v>
      </c>
      <c r="E75">
        <v>544903</v>
      </c>
      <c r="F75">
        <v>0.16900000000000001</v>
      </c>
      <c r="G75">
        <v>4.2999999999999997E-2</v>
      </c>
      <c r="H75">
        <v>60002</v>
      </c>
      <c r="I75">
        <v>0</v>
      </c>
      <c r="J75">
        <v>0</v>
      </c>
      <c r="K75">
        <v>1</v>
      </c>
      <c r="L75">
        <v>60002</v>
      </c>
      <c r="M75">
        <v>4439.999965</v>
      </c>
      <c r="N75">
        <v>28.676765</v>
      </c>
      <c r="P75">
        <v>1</v>
      </c>
      <c r="R75">
        <v>64441.999969999997</v>
      </c>
      <c r="S75">
        <v>64441.999969999997</v>
      </c>
      <c r="U75">
        <v>1</v>
      </c>
      <c r="V75">
        <v>1</v>
      </c>
      <c r="W75">
        <v>1</v>
      </c>
      <c r="X75">
        <v>0</v>
      </c>
      <c r="Y75">
        <v>0</v>
      </c>
      <c r="Z75">
        <v>0</v>
      </c>
      <c r="AA75">
        <v>4.2999999999999997E-2</v>
      </c>
      <c r="AC75">
        <v>28.441904999999998</v>
      </c>
      <c r="AE75">
        <v>1</v>
      </c>
      <c r="AF75">
        <v>1626</v>
      </c>
      <c r="AH75">
        <v>0</v>
      </c>
      <c r="AJ75">
        <v>587</v>
      </c>
      <c r="AL75">
        <v>162</v>
      </c>
      <c r="AN75">
        <v>1626</v>
      </c>
      <c r="AO75">
        <v>0</v>
      </c>
      <c r="AP75">
        <v>587</v>
      </c>
      <c r="AQ75">
        <v>162</v>
      </c>
      <c r="AR75">
        <v>19.998000000000001</v>
      </c>
      <c r="AS75">
        <v>165</v>
      </c>
      <c r="AU75">
        <v>0.1212</v>
      </c>
    </row>
    <row r="76" spans="1:47" x14ac:dyDescent="0.3">
      <c r="A76" t="s">
        <v>111</v>
      </c>
      <c r="B76">
        <v>4423.3330669999996</v>
      </c>
      <c r="C76">
        <v>2.6313E-2</v>
      </c>
      <c r="D76">
        <v>220769</v>
      </c>
      <c r="E76">
        <v>893995</v>
      </c>
      <c r="F76">
        <v>0.29699999999999999</v>
      </c>
      <c r="G76">
        <v>7.8E-2</v>
      </c>
      <c r="H76">
        <v>60004</v>
      </c>
      <c r="I76">
        <v>0</v>
      </c>
      <c r="J76">
        <v>0</v>
      </c>
      <c r="K76">
        <v>1</v>
      </c>
      <c r="L76">
        <v>60004</v>
      </c>
      <c r="M76">
        <v>4423.3330669999996</v>
      </c>
      <c r="N76">
        <v>1.9078580000000001</v>
      </c>
      <c r="P76">
        <v>1</v>
      </c>
      <c r="R76">
        <v>64427.333070000001</v>
      </c>
      <c r="S76">
        <v>64427.333070000001</v>
      </c>
      <c r="U76">
        <v>1</v>
      </c>
      <c r="V76">
        <v>1</v>
      </c>
      <c r="W76">
        <v>1</v>
      </c>
      <c r="X76">
        <v>0</v>
      </c>
      <c r="Y76">
        <v>0</v>
      </c>
      <c r="Z76">
        <v>0</v>
      </c>
      <c r="AA76">
        <v>7.8E-2</v>
      </c>
      <c r="AC76">
        <v>1.506545</v>
      </c>
      <c r="AE76">
        <v>1</v>
      </c>
      <c r="AF76">
        <v>90</v>
      </c>
      <c r="AH76">
        <v>0</v>
      </c>
      <c r="AJ76">
        <v>192</v>
      </c>
      <c r="AL76">
        <v>0</v>
      </c>
      <c r="AN76">
        <v>90</v>
      </c>
      <c r="AO76">
        <v>0</v>
      </c>
      <c r="AP76">
        <v>192</v>
      </c>
      <c r="AQ76">
        <v>0</v>
      </c>
      <c r="AR76">
        <v>0.17599999999999999</v>
      </c>
      <c r="AS76">
        <v>1</v>
      </c>
      <c r="AU76">
        <v>0.17599999999999999</v>
      </c>
    </row>
    <row r="77" spans="1:47" x14ac:dyDescent="0.3">
      <c r="A77" t="s">
        <v>112</v>
      </c>
      <c r="B77">
        <v>4603.3325580000001</v>
      </c>
      <c r="C77">
        <v>2.3571999999999999E-2</v>
      </c>
      <c r="D77">
        <v>230623</v>
      </c>
      <c r="E77">
        <v>949993</v>
      </c>
      <c r="F77">
        <v>0.309</v>
      </c>
      <c r="G77">
        <v>8.8999999999999996E-2</v>
      </c>
      <c r="H77">
        <v>60003</v>
      </c>
      <c r="I77">
        <v>0</v>
      </c>
      <c r="J77">
        <v>0</v>
      </c>
      <c r="K77">
        <v>1</v>
      </c>
      <c r="L77">
        <v>60003</v>
      </c>
      <c r="M77">
        <v>4603.3325340000001</v>
      </c>
      <c r="N77">
        <v>2.325526</v>
      </c>
      <c r="P77">
        <v>1</v>
      </c>
      <c r="R77">
        <v>64606.33253</v>
      </c>
      <c r="S77">
        <v>64606.332560000003</v>
      </c>
      <c r="U77">
        <v>1</v>
      </c>
      <c r="V77">
        <v>1</v>
      </c>
      <c r="W77">
        <v>1</v>
      </c>
      <c r="X77">
        <v>0</v>
      </c>
      <c r="Y77">
        <v>0</v>
      </c>
      <c r="Z77">
        <v>0</v>
      </c>
      <c r="AA77">
        <v>8.8999999999999996E-2</v>
      </c>
      <c r="AC77">
        <v>1.9039539999999999</v>
      </c>
      <c r="AE77">
        <v>1</v>
      </c>
      <c r="AF77">
        <v>240</v>
      </c>
      <c r="AH77">
        <v>0</v>
      </c>
      <c r="AJ77">
        <v>154</v>
      </c>
      <c r="AL77">
        <v>1</v>
      </c>
      <c r="AN77">
        <v>240</v>
      </c>
      <c r="AO77">
        <v>0</v>
      </c>
      <c r="AP77">
        <v>154</v>
      </c>
      <c r="AQ77">
        <v>1</v>
      </c>
      <c r="AR77">
        <v>0.21099999999999999</v>
      </c>
      <c r="AS77">
        <v>2</v>
      </c>
      <c r="AU77">
        <v>0.1055</v>
      </c>
    </row>
    <row r="78" spans="1:47" x14ac:dyDescent="0.3">
      <c r="A78" t="s">
        <v>113</v>
      </c>
      <c r="B78">
        <v>4719.9995220000001</v>
      </c>
      <c r="C78">
        <v>2.6863999999999999E-2</v>
      </c>
      <c r="D78">
        <v>206892</v>
      </c>
      <c r="E78">
        <v>859745</v>
      </c>
      <c r="F78">
        <v>0.27700000000000002</v>
      </c>
      <c r="G78">
        <v>7.3999999999999996E-2</v>
      </c>
      <c r="H78">
        <v>60002</v>
      </c>
      <c r="I78">
        <v>0</v>
      </c>
      <c r="J78">
        <v>0</v>
      </c>
      <c r="K78">
        <v>1</v>
      </c>
      <c r="L78">
        <v>60002</v>
      </c>
      <c r="M78">
        <v>4719.999331</v>
      </c>
      <c r="N78">
        <v>3.163694</v>
      </c>
      <c r="P78">
        <v>1</v>
      </c>
      <c r="R78">
        <v>64721.999329999999</v>
      </c>
      <c r="S78">
        <v>64721.999519999998</v>
      </c>
      <c r="U78">
        <v>1</v>
      </c>
      <c r="V78">
        <v>1</v>
      </c>
      <c r="W78">
        <v>1</v>
      </c>
      <c r="X78">
        <v>0</v>
      </c>
      <c r="Y78">
        <v>0</v>
      </c>
      <c r="Z78">
        <v>0</v>
      </c>
      <c r="AA78">
        <v>7.3999999999999996E-2</v>
      </c>
      <c r="AC78">
        <v>2.7858299999999998</v>
      </c>
      <c r="AE78">
        <v>1</v>
      </c>
      <c r="AF78">
        <v>670</v>
      </c>
      <c r="AH78">
        <v>0</v>
      </c>
      <c r="AJ78">
        <v>67</v>
      </c>
      <c r="AL78">
        <v>0</v>
      </c>
      <c r="AN78">
        <v>670</v>
      </c>
      <c r="AO78">
        <v>0</v>
      </c>
      <c r="AP78">
        <v>67</v>
      </c>
      <c r="AQ78">
        <v>0</v>
      </c>
      <c r="AR78">
        <v>0.14499999999999999</v>
      </c>
      <c r="AS78">
        <v>1</v>
      </c>
      <c r="AU78">
        <v>0.14499999999999999</v>
      </c>
    </row>
    <row r="79" spans="1:47" x14ac:dyDescent="0.3">
      <c r="A79" t="s">
        <v>114</v>
      </c>
      <c r="B79">
        <v>4373.3333169999996</v>
      </c>
      <c r="C79">
        <v>1.9404999999999999E-2</v>
      </c>
      <c r="D79">
        <v>469580</v>
      </c>
      <c r="E79">
        <v>2077539</v>
      </c>
      <c r="F79">
        <v>0.754</v>
      </c>
      <c r="G79">
        <v>0.16300000000000001</v>
      </c>
      <c r="H79">
        <v>60001</v>
      </c>
      <c r="I79">
        <v>0</v>
      </c>
      <c r="J79">
        <v>0</v>
      </c>
      <c r="K79">
        <v>1</v>
      </c>
      <c r="L79">
        <v>60001</v>
      </c>
      <c r="M79">
        <v>4373.333251</v>
      </c>
      <c r="N79">
        <v>6.305809</v>
      </c>
      <c r="P79">
        <v>1</v>
      </c>
      <c r="R79">
        <v>64374.333250000003</v>
      </c>
      <c r="S79">
        <v>64374.333319999998</v>
      </c>
      <c r="U79">
        <v>1</v>
      </c>
      <c r="V79">
        <v>1</v>
      </c>
      <c r="W79">
        <v>1</v>
      </c>
      <c r="X79">
        <v>0</v>
      </c>
      <c r="Y79">
        <v>0</v>
      </c>
      <c r="Z79">
        <v>0</v>
      </c>
      <c r="AA79">
        <v>0.16300000000000001</v>
      </c>
      <c r="AC79">
        <v>5.3694040000000003</v>
      </c>
      <c r="AE79">
        <v>1</v>
      </c>
      <c r="AF79">
        <v>25</v>
      </c>
      <c r="AH79">
        <v>0</v>
      </c>
      <c r="AJ79">
        <v>11</v>
      </c>
      <c r="AL79">
        <v>3</v>
      </c>
      <c r="AN79">
        <v>25</v>
      </c>
      <c r="AO79">
        <v>0</v>
      </c>
      <c r="AP79">
        <v>11</v>
      </c>
      <c r="AQ79">
        <v>3</v>
      </c>
      <c r="AR79">
        <v>1.7569999999999999</v>
      </c>
      <c r="AS79">
        <v>4</v>
      </c>
      <c r="AU79">
        <v>0.43924999999999997</v>
      </c>
    </row>
    <row r="80" spans="1:47" x14ac:dyDescent="0.3">
      <c r="A80" t="s">
        <v>115</v>
      </c>
      <c r="B80">
        <v>4559.9995170000002</v>
      </c>
      <c r="C80">
        <v>3.3473999999999997E-2</v>
      </c>
      <c r="D80">
        <v>420904</v>
      </c>
      <c r="E80">
        <v>1824682</v>
      </c>
      <c r="F80">
        <v>0.65300000000000002</v>
      </c>
      <c r="G80">
        <v>0.156</v>
      </c>
      <c r="H80">
        <v>60002</v>
      </c>
      <c r="I80">
        <v>0</v>
      </c>
      <c r="J80">
        <v>0</v>
      </c>
      <c r="K80">
        <v>1</v>
      </c>
      <c r="L80">
        <v>60002</v>
      </c>
      <c r="M80">
        <v>4559.9995040000003</v>
      </c>
      <c r="N80">
        <v>5.8495910000000002</v>
      </c>
      <c r="P80">
        <v>1</v>
      </c>
      <c r="R80">
        <v>64561.999499999998</v>
      </c>
      <c r="S80">
        <v>64561.999519999998</v>
      </c>
      <c r="U80">
        <v>1</v>
      </c>
      <c r="V80">
        <v>1</v>
      </c>
      <c r="W80">
        <v>1</v>
      </c>
      <c r="X80">
        <v>0</v>
      </c>
      <c r="Y80">
        <v>0</v>
      </c>
      <c r="Z80">
        <v>0</v>
      </c>
      <c r="AA80">
        <v>0.156</v>
      </c>
      <c r="AC80">
        <v>5.007117</v>
      </c>
      <c r="AE80">
        <v>1</v>
      </c>
      <c r="AF80">
        <v>220</v>
      </c>
      <c r="AH80">
        <v>0</v>
      </c>
      <c r="AJ80">
        <v>133</v>
      </c>
      <c r="AL80">
        <v>13</v>
      </c>
      <c r="AN80">
        <v>220</v>
      </c>
      <c r="AO80">
        <v>0</v>
      </c>
      <c r="AP80">
        <v>133</v>
      </c>
      <c r="AQ80">
        <v>13</v>
      </c>
      <c r="AR80">
        <v>1.827</v>
      </c>
      <c r="AS80">
        <v>14</v>
      </c>
      <c r="AU80">
        <v>0.1305</v>
      </c>
    </row>
    <row r="81" spans="1:48" x14ac:dyDescent="0.3">
      <c r="A81" t="s">
        <v>116</v>
      </c>
      <c r="B81">
        <v>4609.9999550000002</v>
      </c>
      <c r="C81">
        <v>1.9047999999999999E-2</v>
      </c>
      <c r="D81">
        <v>196443</v>
      </c>
      <c r="E81">
        <v>760197</v>
      </c>
      <c r="F81">
        <v>0.24199999999999999</v>
      </c>
      <c r="G81">
        <v>7.1999999999999995E-2</v>
      </c>
      <c r="H81">
        <v>60001</v>
      </c>
      <c r="I81">
        <v>0</v>
      </c>
      <c r="J81">
        <v>0</v>
      </c>
      <c r="K81">
        <v>1</v>
      </c>
      <c r="L81">
        <v>60001</v>
      </c>
      <c r="M81">
        <v>4609.9999239999997</v>
      </c>
      <c r="N81">
        <v>16.809815</v>
      </c>
      <c r="P81">
        <v>1</v>
      </c>
      <c r="R81">
        <v>64610.999920000002</v>
      </c>
      <c r="S81">
        <v>64610.999960000001</v>
      </c>
      <c r="U81">
        <v>1</v>
      </c>
      <c r="V81">
        <v>1</v>
      </c>
      <c r="W81">
        <v>1</v>
      </c>
      <c r="X81">
        <v>0</v>
      </c>
      <c r="Y81">
        <v>0</v>
      </c>
      <c r="Z81">
        <v>0</v>
      </c>
      <c r="AA81">
        <v>7.1999999999999995E-2</v>
      </c>
      <c r="AC81">
        <v>16.476766999999999</v>
      </c>
      <c r="AE81">
        <v>1</v>
      </c>
      <c r="AF81">
        <v>2425</v>
      </c>
      <c r="AH81">
        <v>0</v>
      </c>
      <c r="AJ81">
        <v>811</v>
      </c>
      <c r="AL81">
        <v>78</v>
      </c>
      <c r="AN81">
        <v>2425</v>
      </c>
      <c r="AO81">
        <v>0</v>
      </c>
      <c r="AP81">
        <v>811</v>
      </c>
      <c r="AQ81">
        <v>78</v>
      </c>
      <c r="AR81">
        <v>9.6140000000000008</v>
      </c>
      <c r="AS81">
        <v>79</v>
      </c>
      <c r="AU81">
        <v>0.121696</v>
      </c>
    </row>
    <row r="82" spans="1:48" x14ac:dyDescent="0.3">
      <c r="A82" t="s">
        <v>117</v>
      </c>
      <c r="B82">
        <v>4493.3327669999999</v>
      </c>
      <c r="C82">
        <v>7.1490999999999999E-2</v>
      </c>
      <c r="D82">
        <v>479803</v>
      </c>
      <c r="E82">
        <v>2098266</v>
      </c>
      <c r="F82">
        <v>0.75600000000000001</v>
      </c>
      <c r="G82">
        <v>0.218</v>
      </c>
      <c r="H82">
        <v>60001</v>
      </c>
      <c r="I82">
        <v>0</v>
      </c>
      <c r="J82">
        <v>0</v>
      </c>
      <c r="K82">
        <v>1</v>
      </c>
      <c r="L82">
        <v>60001</v>
      </c>
      <c r="M82">
        <v>4493.3327449999997</v>
      </c>
      <c r="N82">
        <v>19.092374999999997</v>
      </c>
      <c r="P82">
        <v>1</v>
      </c>
      <c r="R82">
        <v>64494.332750000001</v>
      </c>
      <c r="S82">
        <v>64494.332770000001</v>
      </c>
      <c r="U82">
        <v>1</v>
      </c>
      <c r="V82">
        <v>1</v>
      </c>
      <c r="W82">
        <v>1</v>
      </c>
      <c r="X82">
        <v>0</v>
      </c>
      <c r="Y82">
        <v>0</v>
      </c>
      <c r="Z82">
        <v>0</v>
      </c>
      <c r="AA82">
        <v>0.218</v>
      </c>
      <c r="AC82">
        <v>18.046883999999999</v>
      </c>
      <c r="AE82">
        <v>1</v>
      </c>
      <c r="AF82">
        <v>446</v>
      </c>
      <c r="AH82">
        <v>0</v>
      </c>
      <c r="AJ82">
        <v>203</v>
      </c>
      <c r="AL82">
        <v>67</v>
      </c>
      <c r="AN82">
        <v>446</v>
      </c>
      <c r="AO82">
        <v>0</v>
      </c>
      <c r="AP82">
        <v>203</v>
      </c>
      <c r="AQ82">
        <v>67</v>
      </c>
      <c r="AR82">
        <v>10.689</v>
      </c>
      <c r="AS82">
        <v>68</v>
      </c>
      <c r="AU82">
        <v>0.157191</v>
      </c>
    </row>
    <row r="83" spans="1:48" x14ac:dyDescent="0.3">
      <c r="A83" t="s">
        <v>118</v>
      </c>
      <c r="B83">
        <v>4670.0000579999996</v>
      </c>
      <c r="C83">
        <v>2.4667000000000001E-2</v>
      </c>
      <c r="D83">
        <v>448729</v>
      </c>
      <c r="E83">
        <v>1989838</v>
      </c>
      <c r="F83">
        <v>0.70099999999999996</v>
      </c>
      <c r="G83">
        <v>0.154</v>
      </c>
      <c r="H83">
        <v>60002</v>
      </c>
      <c r="I83">
        <v>0</v>
      </c>
      <c r="J83">
        <v>0</v>
      </c>
      <c r="K83">
        <v>1</v>
      </c>
      <c r="L83">
        <v>60002</v>
      </c>
      <c r="M83">
        <v>4670.0000410000002</v>
      </c>
      <c r="N83">
        <v>25.657831000000002</v>
      </c>
      <c r="P83">
        <v>1</v>
      </c>
      <c r="R83">
        <v>64672.000039999999</v>
      </c>
      <c r="S83">
        <v>64672.000059999998</v>
      </c>
      <c r="U83">
        <v>1</v>
      </c>
      <c r="V83">
        <v>1</v>
      </c>
      <c r="W83">
        <v>1</v>
      </c>
      <c r="X83">
        <v>0</v>
      </c>
      <c r="Y83">
        <v>0</v>
      </c>
      <c r="Z83">
        <v>0</v>
      </c>
      <c r="AA83">
        <v>0.154</v>
      </c>
      <c r="AC83">
        <v>24.778164</v>
      </c>
      <c r="AE83">
        <v>1</v>
      </c>
      <c r="AF83">
        <v>15067</v>
      </c>
      <c r="AH83">
        <v>0</v>
      </c>
      <c r="AJ83">
        <v>670</v>
      </c>
      <c r="AL83">
        <v>14</v>
      </c>
      <c r="AN83">
        <v>15067</v>
      </c>
      <c r="AO83">
        <v>0</v>
      </c>
      <c r="AP83">
        <v>670</v>
      </c>
      <c r="AQ83">
        <v>14</v>
      </c>
      <c r="AR83">
        <v>1.6779999999999999</v>
      </c>
      <c r="AS83">
        <v>15</v>
      </c>
      <c r="AU83">
        <v>0.11186699999999999</v>
      </c>
    </row>
    <row r="84" spans="1:48" x14ac:dyDescent="0.3">
      <c r="A84" t="s">
        <v>119</v>
      </c>
      <c r="B84">
        <v>4603.3325580000001</v>
      </c>
      <c r="C84">
        <v>2.358E-2</v>
      </c>
      <c r="D84">
        <v>852484</v>
      </c>
      <c r="E84">
        <v>3950160</v>
      </c>
      <c r="F84">
        <v>1.498</v>
      </c>
      <c r="G84">
        <v>0.32500000000000001</v>
      </c>
      <c r="H84">
        <v>60001</v>
      </c>
      <c r="I84">
        <v>0</v>
      </c>
      <c r="J84">
        <v>0</v>
      </c>
      <c r="K84">
        <v>1</v>
      </c>
      <c r="L84">
        <v>60001</v>
      </c>
      <c r="M84">
        <v>4603.3325580000001</v>
      </c>
      <c r="N84">
        <v>22.985232</v>
      </c>
      <c r="P84">
        <v>1</v>
      </c>
      <c r="R84">
        <v>64604.332560000003</v>
      </c>
      <c r="S84">
        <v>64604.332560000003</v>
      </c>
      <c r="U84">
        <v>1</v>
      </c>
      <c r="V84">
        <v>1</v>
      </c>
      <c r="W84">
        <v>1</v>
      </c>
      <c r="X84">
        <v>0</v>
      </c>
      <c r="Y84">
        <v>0</v>
      </c>
      <c r="Z84">
        <v>0</v>
      </c>
      <c r="AA84">
        <v>0.32500000000000001</v>
      </c>
      <c r="AC84">
        <v>21.138652</v>
      </c>
      <c r="AE84">
        <v>1</v>
      </c>
      <c r="AF84">
        <v>6866</v>
      </c>
      <c r="AH84">
        <v>0</v>
      </c>
      <c r="AJ84">
        <v>788</v>
      </c>
      <c r="AL84">
        <v>0</v>
      </c>
      <c r="AN84">
        <v>6866</v>
      </c>
      <c r="AO84">
        <v>0</v>
      </c>
      <c r="AP84">
        <v>788</v>
      </c>
      <c r="AQ84">
        <v>0</v>
      </c>
      <c r="AR84">
        <v>0.627</v>
      </c>
      <c r="AS84">
        <v>2</v>
      </c>
      <c r="AU84">
        <v>0.3135</v>
      </c>
    </row>
    <row r="85" spans="1:48" x14ac:dyDescent="0.3">
      <c r="A85" t="s">
        <v>120</v>
      </c>
      <c r="B85">
        <v>4519.9996709999996</v>
      </c>
      <c r="C85">
        <v>2.579E-2</v>
      </c>
      <c r="D85">
        <v>793339</v>
      </c>
      <c r="E85">
        <v>3660950</v>
      </c>
      <c r="F85">
        <v>1.3819999999999999</v>
      </c>
      <c r="G85">
        <v>0.314</v>
      </c>
      <c r="H85">
        <v>60001</v>
      </c>
      <c r="I85">
        <v>0</v>
      </c>
      <c r="J85">
        <v>0</v>
      </c>
      <c r="K85">
        <v>1</v>
      </c>
      <c r="L85">
        <v>60001</v>
      </c>
      <c r="M85">
        <v>4519.9994800000004</v>
      </c>
      <c r="N85">
        <v>43.900672999999998</v>
      </c>
      <c r="P85">
        <v>1</v>
      </c>
      <c r="R85">
        <v>64520.999479999999</v>
      </c>
      <c r="S85">
        <v>64520.999669999997</v>
      </c>
      <c r="U85">
        <v>1</v>
      </c>
      <c r="V85">
        <v>1</v>
      </c>
      <c r="W85">
        <v>1</v>
      </c>
      <c r="X85">
        <v>0</v>
      </c>
      <c r="Y85">
        <v>0</v>
      </c>
      <c r="Z85">
        <v>0</v>
      </c>
      <c r="AA85">
        <v>0.314</v>
      </c>
      <c r="AC85">
        <v>42.178882999999999</v>
      </c>
      <c r="AE85">
        <v>1</v>
      </c>
      <c r="AF85">
        <v>7612</v>
      </c>
      <c r="AH85">
        <v>0</v>
      </c>
      <c r="AJ85">
        <v>372</v>
      </c>
      <c r="AL85">
        <v>70</v>
      </c>
      <c r="AN85">
        <v>7612</v>
      </c>
      <c r="AO85">
        <v>0</v>
      </c>
      <c r="AP85">
        <v>372</v>
      </c>
      <c r="AQ85">
        <v>70</v>
      </c>
      <c r="AR85">
        <v>7.3220000000000001</v>
      </c>
      <c r="AS85">
        <v>71</v>
      </c>
      <c r="AU85">
        <v>0.103127</v>
      </c>
    </row>
    <row r="86" spans="1:48" x14ac:dyDescent="0.3">
      <c r="A86" t="s">
        <v>121</v>
      </c>
      <c r="B86">
        <v>4423.3330669999996</v>
      </c>
      <c r="C86">
        <v>2.5569000000000001E-2</v>
      </c>
      <c r="D86">
        <v>29511</v>
      </c>
      <c r="E86">
        <v>86792</v>
      </c>
      <c r="F86">
        <v>2.4E-2</v>
      </c>
      <c r="G86">
        <v>5.0000000000000001E-3</v>
      </c>
      <c r="H86">
        <v>60002</v>
      </c>
      <c r="I86">
        <v>0</v>
      </c>
      <c r="J86">
        <v>0</v>
      </c>
      <c r="K86">
        <v>1</v>
      </c>
      <c r="L86">
        <v>60002</v>
      </c>
      <c r="M86">
        <v>4423.3330669999996</v>
      </c>
      <c r="N86">
        <v>2.6628799999999999</v>
      </c>
      <c r="P86">
        <v>1</v>
      </c>
      <c r="R86">
        <v>64425.333070000001</v>
      </c>
      <c r="S86">
        <v>64425.333070000001</v>
      </c>
      <c r="U86">
        <v>1</v>
      </c>
      <c r="V86">
        <v>1</v>
      </c>
      <c r="W86">
        <v>1</v>
      </c>
      <c r="X86">
        <v>0</v>
      </c>
      <c r="Y86">
        <v>0</v>
      </c>
      <c r="Z86">
        <v>0</v>
      </c>
      <c r="AA86">
        <v>5.0000000000000001E-3</v>
      </c>
      <c r="AC86">
        <v>2.608311</v>
      </c>
      <c r="AE86">
        <v>1</v>
      </c>
      <c r="AF86">
        <v>279</v>
      </c>
      <c r="AH86">
        <v>0</v>
      </c>
      <c r="AJ86">
        <v>73</v>
      </c>
      <c r="AL86">
        <v>1</v>
      </c>
      <c r="AN86">
        <v>279</v>
      </c>
      <c r="AO86">
        <v>0</v>
      </c>
      <c r="AP86">
        <v>73</v>
      </c>
      <c r="AQ86">
        <v>1</v>
      </c>
      <c r="AR86">
        <v>0.56799999999999995</v>
      </c>
      <c r="AS86">
        <v>2</v>
      </c>
      <c r="AU86">
        <v>0.28399999999999997</v>
      </c>
    </row>
    <row r="87" spans="1:48" x14ac:dyDescent="0.3">
      <c r="A87" t="s">
        <v>122</v>
      </c>
      <c r="B87">
        <v>4949.999452</v>
      </c>
      <c r="C87">
        <v>2.5468999999999999E-2</v>
      </c>
      <c r="D87">
        <v>236072</v>
      </c>
      <c r="E87">
        <v>926839</v>
      </c>
      <c r="F87">
        <v>0.30499999999999999</v>
      </c>
      <c r="G87">
        <v>8.7999999999999995E-2</v>
      </c>
      <c r="H87">
        <v>60002</v>
      </c>
      <c r="I87">
        <v>0</v>
      </c>
      <c r="J87">
        <v>0</v>
      </c>
      <c r="K87">
        <v>1</v>
      </c>
      <c r="L87">
        <v>60002</v>
      </c>
      <c r="M87">
        <v>4949.9994280000001</v>
      </c>
      <c r="N87">
        <v>2.9069539999999998</v>
      </c>
      <c r="P87">
        <v>1</v>
      </c>
      <c r="R87">
        <v>64951.999430000003</v>
      </c>
      <c r="S87">
        <v>64951.999450000003</v>
      </c>
      <c r="U87">
        <v>1</v>
      </c>
      <c r="V87">
        <v>1</v>
      </c>
      <c r="W87">
        <v>1</v>
      </c>
      <c r="X87">
        <v>0</v>
      </c>
      <c r="Y87">
        <v>0</v>
      </c>
      <c r="Z87">
        <v>0</v>
      </c>
      <c r="AA87">
        <v>8.7999999999999995E-2</v>
      </c>
      <c r="AC87">
        <v>2.4884849999999998</v>
      </c>
      <c r="AE87">
        <v>1</v>
      </c>
      <c r="AF87">
        <v>52</v>
      </c>
      <c r="AH87">
        <v>0</v>
      </c>
      <c r="AJ87">
        <v>17</v>
      </c>
      <c r="AL87">
        <v>1</v>
      </c>
      <c r="AN87">
        <v>52</v>
      </c>
      <c r="AO87">
        <v>0</v>
      </c>
      <c r="AP87">
        <v>17</v>
      </c>
      <c r="AQ87">
        <v>1</v>
      </c>
      <c r="AR87">
        <v>0.35399999999999998</v>
      </c>
      <c r="AS87">
        <v>2</v>
      </c>
      <c r="AU87">
        <v>0.17699999999999999</v>
      </c>
    </row>
    <row r="88" spans="1:48" x14ac:dyDescent="0.3">
      <c r="A88" t="s">
        <v>123</v>
      </c>
      <c r="B88">
        <v>4849.9994459999998</v>
      </c>
      <c r="C88">
        <v>2.7674000000000001E-2</v>
      </c>
      <c r="D88">
        <v>531939</v>
      </c>
      <c r="E88">
        <v>2340926</v>
      </c>
      <c r="F88">
        <v>0.85399999999999998</v>
      </c>
      <c r="G88">
        <v>0.20799999999999999</v>
      </c>
      <c r="H88">
        <v>60003</v>
      </c>
      <c r="I88">
        <v>0</v>
      </c>
      <c r="J88">
        <v>0</v>
      </c>
      <c r="K88">
        <v>1</v>
      </c>
      <c r="L88">
        <v>60003</v>
      </c>
      <c r="M88">
        <v>4849.9994459999998</v>
      </c>
      <c r="N88">
        <v>4.5176160000000003</v>
      </c>
      <c r="P88">
        <v>1</v>
      </c>
      <c r="R88">
        <v>64852.999450000003</v>
      </c>
      <c r="S88">
        <v>64852.999450000003</v>
      </c>
      <c r="U88">
        <v>1</v>
      </c>
      <c r="V88">
        <v>1</v>
      </c>
      <c r="W88">
        <v>1</v>
      </c>
      <c r="X88">
        <v>0</v>
      </c>
      <c r="Y88">
        <v>0</v>
      </c>
      <c r="Z88">
        <v>0</v>
      </c>
      <c r="AA88">
        <v>0.20799999999999999</v>
      </c>
      <c r="AC88">
        <v>3.4279419999999998</v>
      </c>
      <c r="AE88">
        <v>1</v>
      </c>
      <c r="AF88">
        <v>525</v>
      </c>
      <c r="AH88">
        <v>0</v>
      </c>
      <c r="AJ88">
        <v>29</v>
      </c>
      <c r="AL88">
        <v>1</v>
      </c>
      <c r="AN88">
        <v>525</v>
      </c>
      <c r="AO88">
        <v>0</v>
      </c>
      <c r="AP88">
        <v>29</v>
      </c>
      <c r="AQ88">
        <v>1</v>
      </c>
      <c r="AR88">
        <v>0.45700000000000002</v>
      </c>
      <c r="AS88">
        <v>2</v>
      </c>
      <c r="AU88">
        <v>0.22850000000000001</v>
      </c>
    </row>
    <row r="89" spans="1:48" x14ac:dyDescent="0.3">
      <c r="A89" t="s">
        <v>124</v>
      </c>
      <c r="B89">
        <v>4603.3328449999999</v>
      </c>
      <c r="C89">
        <v>2.7896000000000001E-2</v>
      </c>
      <c r="D89">
        <v>280692</v>
      </c>
      <c r="E89">
        <v>1178126</v>
      </c>
      <c r="F89">
        <v>0.39100000000000001</v>
      </c>
      <c r="G89">
        <v>9.8000000000000004E-2</v>
      </c>
      <c r="H89">
        <v>60003</v>
      </c>
      <c r="I89">
        <v>0</v>
      </c>
      <c r="J89">
        <v>0</v>
      </c>
      <c r="K89">
        <v>1</v>
      </c>
      <c r="L89">
        <v>60003</v>
      </c>
      <c r="M89">
        <v>4603.3330349999997</v>
      </c>
      <c r="N89">
        <v>6.7322300000000004</v>
      </c>
      <c r="P89">
        <v>1</v>
      </c>
      <c r="R89">
        <v>64606.333039999998</v>
      </c>
      <c r="S89">
        <v>64606.332849999999</v>
      </c>
      <c r="U89">
        <v>1</v>
      </c>
      <c r="V89">
        <v>1</v>
      </c>
      <c r="W89">
        <v>1</v>
      </c>
      <c r="X89">
        <v>0</v>
      </c>
      <c r="Y89">
        <v>0</v>
      </c>
      <c r="Z89">
        <v>0</v>
      </c>
      <c r="AA89">
        <v>9.8000000000000004E-2</v>
      </c>
      <c r="AC89">
        <v>6.2153340000000004</v>
      </c>
      <c r="AE89">
        <v>1</v>
      </c>
      <c r="AF89">
        <v>859</v>
      </c>
      <c r="AH89">
        <v>0</v>
      </c>
      <c r="AJ89">
        <v>346</v>
      </c>
      <c r="AL89">
        <v>2</v>
      </c>
      <c r="AN89">
        <v>859</v>
      </c>
      <c r="AO89">
        <v>0</v>
      </c>
      <c r="AP89">
        <v>346</v>
      </c>
      <c r="AQ89">
        <v>2</v>
      </c>
      <c r="AR89">
        <v>0.61899999999999999</v>
      </c>
      <c r="AS89">
        <v>4</v>
      </c>
      <c r="AU89">
        <v>0.15475</v>
      </c>
    </row>
    <row r="90" spans="1:48" x14ac:dyDescent="0.3">
      <c r="A90" t="s">
        <v>125</v>
      </c>
      <c r="B90">
        <v>4373.3330969999997</v>
      </c>
      <c r="C90">
        <v>1.9040999999999999E-2</v>
      </c>
      <c r="D90">
        <v>609642</v>
      </c>
      <c r="E90">
        <v>2756700</v>
      </c>
      <c r="F90">
        <v>1.0149999999999999</v>
      </c>
      <c r="G90">
        <v>0.26900000000000002</v>
      </c>
      <c r="H90">
        <v>70001</v>
      </c>
      <c r="I90">
        <v>0</v>
      </c>
      <c r="J90">
        <v>0</v>
      </c>
      <c r="K90">
        <v>1</v>
      </c>
      <c r="L90">
        <v>70001</v>
      </c>
      <c r="M90">
        <v>4373.3330969999997</v>
      </c>
      <c r="N90">
        <v>10.493965000000001</v>
      </c>
      <c r="P90">
        <v>1</v>
      </c>
      <c r="R90">
        <v>74374.333100000003</v>
      </c>
      <c r="S90">
        <v>74374.333100000003</v>
      </c>
      <c r="U90">
        <v>1</v>
      </c>
      <c r="V90">
        <v>1</v>
      </c>
      <c r="W90">
        <v>1</v>
      </c>
      <c r="X90">
        <v>0</v>
      </c>
      <c r="Y90">
        <v>0</v>
      </c>
      <c r="Z90">
        <v>0</v>
      </c>
      <c r="AA90">
        <v>0.26900000000000002</v>
      </c>
      <c r="AC90">
        <v>9.1909240000000008</v>
      </c>
      <c r="AE90">
        <v>1</v>
      </c>
      <c r="AF90">
        <v>3075</v>
      </c>
      <c r="AH90">
        <v>0</v>
      </c>
      <c r="AJ90">
        <v>394</v>
      </c>
      <c r="AL90">
        <v>7</v>
      </c>
      <c r="AN90">
        <v>3075</v>
      </c>
      <c r="AO90">
        <v>0</v>
      </c>
      <c r="AP90">
        <v>394</v>
      </c>
      <c r="AQ90">
        <v>7</v>
      </c>
      <c r="AR90">
        <v>0.95499999999999996</v>
      </c>
      <c r="AS90">
        <v>8</v>
      </c>
      <c r="AU90">
        <v>0.119375</v>
      </c>
    </row>
    <row r="91" spans="1:48" s="1" customFormat="1" x14ac:dyDescent="0.3">
      <c r="A91" s="1" t="s">
        <v>126</v>
      </c>
      <c r="B91" s="1">
        <v>4849.9994459999998</v>
      </c>
      <c r="C91" s="1">
        <v>2.7084E-2</v>
      </c>
      <c r="D91" s="1">
        <v>459089</v>
      </c>
      <c r="E91" s="1">
        <v>1998458</v>
      </c>
      <c r="F91" s="1">
        <v>0.72099999999999997</v>
      </c>
      <c r="G91" s="1">
        <v>0.17199999999999999</v>
      </c>
      <c r="H91" s="1">
        <v>60002</v>
      </c>
      <c r="I91" s="1">
        <v>0</v>
      </c>
      <c r="J91" s="1">
        <v>0</v>
      </c>
      <c r="K91" s="1">
        <v>1</v>
      </c>
      <c r="L91" s="1">
        <v>60002</v>
      </c>
      <c r="M91" s="1">
        <v>4849.9994459999998</v>
      </c>
      <c r="N91" s="1">
        <v>16.496611999999999</v>
      </c>
      <c r="P91" s="1">
        <v>1</v>
      </c>
      <c r="R91" s="1">
        <v>64851.999450000003</v>
      </c>
      <c r="S91" s="1">
        <v>64851.999450000003</v>
      </c>
      <c r="U91" s="1">
        <v>1</v>
      </c>
      <c r="V91" s="1">
        <v>1</v>
      </c>
      <c r="W91" s="1">
        <v>1</v>
      </c>
      <c r="X91" s="1">
        <v>0</v>
      </c>
      <c r="Y91" s="1">
        <v>0</v>
      </c>
      <c r="Z91" s="1">
        <v>0</v>
      </c>
      <c r="AA91" s="1">
        <v>0.17199999999999999</v>
      </c>
      <c r="AC91" s="1">
        <v>15.576528</v>
      </c>
      <c r="AE91" s="1">
        <v>1</v>
      </c>
      <c r="AF91" s="1">
        <v>327</v>
      </c>
      <c r="AH91" s="1">
        <v>0</v>
      </c>
      <c r="AJ91" s="1">
        <v>97</v>
      </c>
      <c r="AL91" s="1">
        <v>104</v>
      </c>
      <c r="AN91" s="1">
        <v>327</v>
      </c>
      <c r="AO91" s="1">
        <v>0</v>
      </c>
      <c r="AP91" s="1">
        <v>97</v>
      </c>
      <c r="AQ91" s="1">
        <v>104</v>
      </c>
      <c r="AR91" s="1">
        <v>12.247</v>
      </c>
      <c r="AS91" s="1">
        <v>105</v>
      </c>
      <c r="AU91" s="1">
        <v>0.11663800000000001</v>
      </c>
    </row>
    <row r="92" spans="1:48" x14ac:dyDescent="0.3">
      <c r="A92" t="s">
        <v>165</v>
      </c>
      <c r="B92">
        <v>6079.99953</v>
      </c>
      <c r="C92">
        <v>3.4460999999999999E-2</v>
      </c>
      <c r="D92">
        <v>967321</v>
      </c>
      <c r="E92">
        <v>4075893</v>
      </c>
      <c r="F92">
        <v>1.5740000000000001</v>
      </c>
      <c r="G92">
        <v>0.51800000000000002</v>
      </c>
      <c r="H92">
        <v>30002</v>
      </c>
      <c r="I92">
        <v>1</v>
      </c>
      <c r="J92">
        <v>0</v>
      </c>
      <c r="K92">
        <v>1</v>
      </c>
      <c r="L92">
        <v>30002</v>
      </c>
      <c r="M92">
        <v>6079.9995060000001</v>
      </c>
      <c r="N92">
        <v>31.223921999999998</v>
      </c>
      <c r="O92">
        <v>235.7066394</v>
      </c>
      <c r="P92">
        <v>1</v>
      </c>
      <c r="Q92">
        <f>AVERAGE(P92:P121)</f>
        <v>1</v>
      </c>
      <c r="R92">
        <v>36081.999506</v>
      </c>
      <c r="S92">
        <v>36081.999530000001</v>
      </c>
      <c r="T92">
        <f>SUM(U92:U121)</f>
        <v>30</v>
      </c>
      <c r="U92">
        <v>1</v>
      </c>
      <c r="V92">
        <v>1</v>
      </c>
      <c r="W92">
        <v>1</v>
      </c>
      <c r="X92">
        <v>0</v>
      </c>
      <c r="Y92">
        <v>0</v>
      </c>
      <c r="Z92">
        <v>0</v>
      </c>
      <c r="AA92">
        <v>0.51800000000000002</v>
      </c>
      <c r="AB92">
        <f>AVERAGE(AA92:AA121)</f>
        <v>1.1359000000000001</v>
      </c>
      <c r="AC92">
        <v>29.097460999999999</v>
      </c>
      <c r="AD92">
        <f>AVERAGE(AC92:AC121)</f>
        <v>229.21429599999999</v>
      </c>
      <c r="AE92">
        <v>1</v>
      </c>
      <c r="AF92">
        <v>71</v>
      </c>
      <c r="AG92">
        <f>AVERAGE(AF92:AF121)</f>
        <v>2034.5</v>
      </c>
      <c r="AH92">
        <v>0</v>
      </c>
      <c r="AI92">
        <f>AVERAGE(AH92:AH121)</f>
        <v>0</v>
      </c>
      <c r="AJ92">
        <v>3218</v>
      </c>
      <c r="AK92">
        <f>AVERAGE(AJ92:AJ121)</f>
        <v>12078.633333333333</v>
      </c>
      <c r="AL92">
        <v>9</v>
      </c>
      <c r="AM92">
        <f>AVERAGE(AL92:AL121)</f>
        <v>119.63333333333334</v>
      </c>
      <c r="AN92">
        <v>71</v>
      </c>
      <c r="AO92">
        <v>0</v>
      </c>
      <c r="AP92">
        <v>3218</v>
      </c>
      <c r="AQ92">
        <v>9</v>
      </c>
      <c r="AR92">
        <v>8.9220000000000006</v>
      </c>
      <c r="AS92">
        <v>10</v>
      </c>
      <c r="AT92">
        <f>AVERAGE(AS92:AS121)</f>
        <v>121.26666666666667</v>
      </c>
      <c r="AU92">
        <v>0.89219999999999999</v>
      </c>
      <c r="AV92">
        <f>AVERAGE(AU92:AU121)</f>
        <v>1.0662312666666667</v>
      </c>
    </row>
    <row r="93" spans="1:48" x14ac:dyDescent="0.3">
      <c r="A93" t="s">
        <v>166</v>
      </c>
      <c r="B93">
        <v>6519.9999809999999</v>
      </c>
      <c r="C93">
        <v>8.9743000000000003E-2</v>
      </c>
      <c r="D93">
        <v>1904065</v>
      </c>
      <c r="E93">
        <v>8889339</v>
      </c>
      <c r="F93">
        <v>3.6419999999999999</v>
      </c>
      <c r="G93">
        <v>0.78900000000000003</v>
      </c>
      <c r="H93">
        <v>40002</v>
      </c>
      <c r="I93">
        <v>1</v>
      </c>
      <c r="J93">
        <v>0</v>
      </c>
      <c r="K93">
        <v>1</v>
      </c>
      <c r="L93">
        <v>40002</v>
      </c>
      <c r="M93">
        <v>6519.9999690000004</v>
      </c>
      <c r="N93">
        <v>56.920860000000005</v>
      </c>
      <c r="P93">
        <v>1</v>
      </c>
      <c r="R93">
        <v>46521.999968999997</v>
      </c>
      <c r="S93">
        <v>46521.999981000001</v>
      </c>
      <c r="U93">
        <v>1</v>
      </c>
      <c r="V93">
        <v>1</v>
      </c>
      <c r="W93">
        <v>1</v>
      </c>
      <c r="X93">
        <v>0</v>
      </c>
      <c r="Y93">
        <v>0</v>
      </c>
      <c r="Z93">
        <v>0</v>
      </c>
      <c r="AA93">
        <v>0.78900000000000003</v>
      </c>
      <c r="AC93">
        <v>52.400117000000002</v>
      </c>
      <c r="AE93">
        <v>1</v>
      </c>
      <c r="AF93">
        <v>238</v>
      </c>
      <c r="AH93">
        <v>0</v>
      </c>
      <c r="AJ93">
        <v>4630</v>
      </c>
      <c r="AL93">
        <v>5</v>
      </c>
      <c r="AN93">
        <v>238</v>
      </c>
      <c r="AO93">
        <v>0</v>
      </c>
      <c r="AP93">
        <v>4630</v>
      </c>
      <c r="AQ93">
        <v>5</v>
      </c>
      <c r="AR93">
        <v>5.5410000000000004</v>
      </c>
      <c r="AS93">
        <v>6</v>
      </c>
      <c r="AU93">
        <v>0.92349999999999999</v>
      </c>
    </row>
    <row r="94" spans="1:48" x14ac:dyDescent="0.3">
      <c r="A94" t="s">
        <v>167</v>
      </c>
      <c r="B94">
        <v>6539.9992110000003</v>
      </c>
      <c r="C94">
        <v>3.2650999999999999E-2</v>
      </c>
      <c r="D94">
        <v>2431257</v>
      </c>
      <c r="E94">
        <v>11474762</v>
      </c>
      <c r="F94">
        <v>4.8479999999999999</v>
      </c>
      <c r="G94">
        <v>1.0589999999999999</v>
      </c>
      <c r="H94">
        <v>20003</v>
      </c>
      <c r="I94">
        <v>1</v>
      </c>
      <c r="J94">
        <v>0</v>
      </c>
      <c r="K94">
        <v>1</v>
      </c>
      <c r="L94">
        <v>20003</v>
      </c>
      <c r="M94">
        <v>6539.9991369999998</v>
      </c>
      <c r="N94">
        <v>80.128276</v>
      </c>
      <c r="P94">
        <v>1</v>
      </c>
      <c r="R94">
        <v>26542.999136999999</v>
      </c>
      <c r="S94">
        <v>26542.999210999998</v>
      </c>
      <c r="U94">
        <v>1</v>
      </c>
      <c r="V94">
        <v>1</v>
      </c>
      <c r="W94">
        <v>1</v>
      </c>
      <c r="X94">
        <v>0</v>
      </c>
      <c r="Y94">
        <v>0</v>
      </c>
      <c r="Z94">
        <v>0</v>
      </c>
      <c r="AA94">
        <v>1.0589999999999999</v>
      </c>
      <c r="AC94">
        <v>74.188625000000002</v>
      </c>
      <c r="AE94">
        <v>1</v>
      </c>
      <c r="AF94">
        <v>2971</v>
      </c>
      <c r="AH94">
        <v>0</v>
      </c>
      <c r="AJ94">
        <v>11273</v>
      </c>
      <c r="AL94">
        <v>3</v>
      </c>
      <c r="AN94">
        <v>2971</v>
      </c>
      <c r="AO94">
        <v>0</v>
      </c>
      <c r="AP94">
        <v>11273</v>
      </c>
      <c r="AQ94">
        <v>3</v>
      </c>
      <c r="AR94">
        <v>3.573</v>
      </c>
      <c r="AS94">
        <v>4</v>
      </c>
      <c r="AU94">
        <v>0.89324999999999999</v>
      </c>
    </row>
    <row r="95" spans="1:48" x14ac:dyDescent="0.3">
      <c r="A95" t="s">
        <v>168</v>
      </c>
      <c r="B95">
        <v>6250</v>
      </c>
      <c r="C95">
        <v>2.9145999999999998E-2</v>
      </c>
      <c r="D95">
        <v>434706</v>
      </c>
      <c r="E95">
        <v>1702711</v>
      </c>
      <c r="F95">
        <v>0.58699999999999997</v>
      </c>
      <c r="G95">
        <v>0.14199999999999999</v>
      </c>
      <c r="H95">
        <v>30002</v>
      </c>
      <c r="I95">
        <v>1</v>
      </c>
      <c r="J95">
        <v>0</v>
      </c>
      <c r="K95">
        <v>1</v>
      </c>
      <c r="L95">
        <v>30002</v>
      </c>
      <c r="M95">
        <v>6250</v>
      </c>
      <c r="N95">
        <v>115.769228</v>
      </c>
      <c r="P95">
        <v>1</v>
      </c>
      <c r="R95">
        <v>36252</v>
      </c>
      <c r="S95">
        <v>36252</v>
      </c>
      <c r="U95">
        <v>1</v>
      </c>
      <c r="V95">
        <v>1</v>
      </c>
      <c r="W95">
        <v>1</v>
      </c>
      <c r="X95">
        <v>0</v>
      </c>
      <c r="Y95">
        <v>0</v>
      </c>
      <c r="Z95">
        <v>0</v>
      </c>
      <c r="AA95">
        <v>0.14199999999999999</v>
      </c>
      <c r="AC95">
        <v>115.011082</v>
      </c>
      <c r="AE95">
        <v>1</v>
      </c>
      <c r="AF95">
        <v>89</v>
      </c>
      <c r="AH95">
        <v>0</v>
      </c>
      <c r="AJ95">
        <v>22224</v>
      </c>
      <c r="AL95">
        <v>44</v>
      </c>
      <c r="AN95">
        <v>89</v>
      </c>
      <c r="AO95">
        <v>0</v>
      </c>
      <c r="AP95">
        <v>22224</v>
      </c>
      <c r="AQ95">
        <v>44</v>
      </c>
      <c r="AR95">
        <v>38.259</v>
      </c>
      <c r="AS95">
        <v>47</v>
      </c>
      <c r="AU95">
        <v>0.81402099999999999</v>
      </c>
    </row>
    <row r="96" spans="1:48" x14ac:dyDescent="0.3">
      <c r="A96" t="s">
        <v>169</v>
      </c>
      <c r="B96">
        <v>6159.9994360000001</v>
      </c>
      <c r="C96">
        <v>4.2171E-2</v>
      </c>
      <c r="D96">
        <v>5107770</v>
      </c>
      <c r="E96">
        <v>25688994</v>
      </c>
      <c r="F96">
        <v>11.84</v>
      </c>
      <c r="G96">
        <v>2.4289999999999998</v>
      </c>
      <c r="H96">
        <v>20003</v>
      </c>
      <c r="I96">
        <v>1</v>
      </c>
      <c r="J96">
        <v>0</v>
      </c>
      <c r="K96">
        <v>1</v>
      </c>
      <c r="L96">
        <v>20003</v>
      </c>
      <c r="M96">
        <v>6159.9995669999998</v>
      </c>
      <c r="N96">
        <v>82.567041000000003</v>
      </c>
      <c r="P96">
        <v>1</v>
      </c>
      <c r="R96">
        <v>26162.999566999999</v>
      </c>
      <c r="S96">
        <v>26162.999435999998</v>
      </c>
      <c r="U96">
        <v>1</v>
      </c>
      <c r="V96">
        <v>1</v>
      </c>
      <c r="W96">
        <v>1</v>
      </c>
      <c r="X96">
        <v>0</v>
      </c>
      <c r="Y96">
        <v>0</v>
      </c>
      <c r="Z96">
        <v>0</v>
      </c>
      <c r="AA96">
        <v>2.4289999999999998</v>
      </c>
      <c r="AC96">
        <v>68.255870000000002</v>
      </c>
      <c r="AE96">
        <v>1</v>
      </c>
      <c r="AF96">
        <v>7467</v>
      </c>
      <c r="AH96">
        <v>0</v>
      </c>
      <c r="AJ96">
        <v>4617</v>
      </c>
      <c r="AL96">
        <v>0</v>
      </c>
      <c r="AN96">
        <v>7467</v>
      </c>
      <c r="AO96">
        <v>0</v>
      </c>
      <c r="AP96">
        <v>4617</v>
      </c>
      <c r="AQ96">
        <v>0</v>
      </c>
      <c r="AR96">
        <v>0.48899999999999999</v>
      </c>
      <c r="AS96">
        <v>1</v>
      </c>
      <c r="AU96">
        <v>0.48899999999999999</v>
      </c>
    </row>
    <row r="97" spans="1:47" x14ac:dyDescent="0.3">
      <c r="A97" t="s">
        <v>170</v>
      </c>
      <c r="B97">
        <v>5999.9993919999997</v>
      </c>
      <c r="C97">
        <v>3.3832000000000001E-2</v>
      </c>
      <c r="D97">
        <v>3068171</v>
      </c>
      <c r="E97">
        <v>14923224</v>
      </c>
      <c r="F97">
        <v>6.4379999999999997</v>
      </c>
      <c r="G97">
        <v>1.3109999999999999</v>
      </c>
      <c r="H97">
        <v>40002</v>
      </c>
      <c r="I97">
        <v>1</v>
      </c>
      <c r="J97">
        <v>0</v>
      </c>
      <c r="K97">
        <v>1</v>
      </c>
      <c r="L97">
        <v>40002</v>
      </c>
      <c r="M97">
        <v>5999.9992490000004</v>
      </c>
      <c r="N97">
        <v>33.207531000000003</v>
      </c>
      <c r="P97">
        <v>1</v>
      </c>
      <c r="R97">
        <v>46001.999249</v>
      </c>
      <c r="S97">
        <v>46001.999391999998</v>
      </c>
      <c r="U97">
        <v>1</v>
      </c>
      <c r="V97">
        <v>1</v>
      </c>
      <c r="W97">
        <v>1</v>
      </c>
      <c r="X97">
        <v>0</v>
      </c>
      <c r="Y97">
        <v>0</v>
      </c>
      <c r="Z97">
        <v>0</v>
      </c>
      <c r="AA97">
        <v>1.3109999999999999</v>
      </c>
      <c r="AC97">
        <v>25.424699</v>
      </c>
      <c r="AE97">
        <v>1</v>
      </c>
      <c r="AF97">
        <v>1251</v>
      </c>
      <c r="AH97">
        <v>0</v>
      </c>
      <c r="AJ97">
        <v>837</v>
      </c>
      <c r="AL97">
        <v>19</v>
      </c>
      <c r="AN97">
        <v>1251</v>
      </c>
      <c r="AO97">
        <v>0</v>
      </c>
      <c r="AP97">
        <v>837</v>
      </c>
      <c r="AQ97">
        <v>19</v>
      </c>
      <c r="AR97">
        <v>11.07</v>
      </c>
      <c r="AS97">
        <v>20</v>
      </c>
      <c r="AU97">
        <v>0.55349999999999999</v>
      </c>
    </row>
    <row r="98" spans="1:47" x14ac:dyDescent="0.3">
      <c r="A98" t="s">
        <v>171</v>
      </c>
      <c r="B98">
        <v>6539.9992110000003</v>
      </c>
      <c r="C98">
        <v>8.1943000000000002E-2</v>
      </c>
      <c r="D98">
        <v>4608888</v>
      </c>
      <c r="E98">
        <v>23056180</v>
      </c>
      <c r="F98">
        <v>10.369</v>
      </c>
      <c r="G98">
        <v>2.2210000000000001</v>
      </c>
      <c r="H98">
        <v>20003</v>
      </c>
      <c r="I98">
        <v>1</v>
      </c>
      <c r="J98">
        <v>0</v>
      </c>
      <c r="K98">
        <v>1</v>
      </c>
      <c r="L98">
        <v>20003</v>
      </c>
      <c r="M98">
        <v>6539.9991389999996</v>
      </c>
      <c r="N98">
        <v>35.410032000000001</v>
      </c>
      <c r="P98">
        <v>1</v>
      </c>
      <c r="R98">
        <v>26542.999139</v>
      </c>
      <c r="S98">
        <v>26542.999210999998</v>
      </c>
      <c r="U98">
        <v>1</v>
      </c>
      <c r="V98">
        <v>1</v>
      </c>
      <c r="W98">
        <v>1</v>
      </c>
      <c r="X98">
        <v>0</v>
      </c>
      <c r="Y98">
        <v>0</v>
      </c>
      <c r="Z98">
        <v>0</v>
      </c>
      <c r="AA98">
        <v>2.2210000000000001</v>
      </c>
      <c r="AC98">
        <v>22.738088999999999</v>
      </c>
      <c r="AE98">
        <v>1</v>
      </c>
      <c r="AF98">
        <v>0</v>
      </c>
      <c r="AH98">
        <v>0</v>
      </c>
      <c r="AJ98">
        <v>499</v>
      </c>
      <c r="AL98">
        <v>6</v>
      </c>
      <c r="AN98">
        <v>0</v>
      </c>
      <c r="AO98">
        <v>0</v>
      </c>
      <c r="AP98">
        <v>499</v>
      </c>
      <c r="AQ98">
        <v>6</v>
      </c>
      <c r="AR98">
        <v>12.441000000000001</v>
      </c>
      <c r="AS98">
        <v>7</v>
      </c>
      <c r="AU98">
        <v>1.7772859999999999</v>
      </c>
    </row>
    <row r="99" spans="1:47" x14ac:dyDescent="0.3">
      <c r="A99" t="s">
        <v>172</v>
      </c>
      <c r="B99">
        <v>6239.9997350000003</v>
      </c>
      <c r="C99">
        <v>7.1174000000000001E-2</v>
      </c>
      <c r="D99">
        <v>1148322</v>
      </c>
      <c r="E99">
        <v>5140787</v>
      </c>
      <c r="F99">
        <v>1.9419999999999999</v>
      </c>
      <c r="G99">
        <v>0.51200000000000001</v>
      </c>
      <c r="H99">
        <v>40002</v>
      </c>
      <c r="I99">
        <v>1</v>
      </c>
      <c r="J99">
        <v>0</v>
      </c>
      <c r="K99">
        <v>1</v>
      </c>
      <c r="L99">
        <v>40002</v>
      </c>
      <c r="M99">
        <v>6239.9996170000004</v>
      </c>
      <c r="N99">
        <v>80.977012999999999</v>
      </c>
      <c r="P99">
        <v>1</v>
      </c>
      <c r="R99">
        <v>46241.999617000001</v>
      </c>
      <c r="S99">
        <v>46241.999734999998</v>
      </c>
      <c r="U99">
        <v>1</v>
      </c>
      <c r="V99">
        <v>1</v>
      </c>
      <c r="W99">
        <v>1</v>
      </c>
      <c r="X99">
        <v>0</v>
      </c>
      <c r="Y99">
        <v>0</v>
      </c>
      <c r="Z99">
        <v>0</v>
      </c>
      <c r="AA99">
        <v>0.51200000000000001</v>
      </c>
      <c r="AC99">
        <v>78.451839000000007</v>
      </c>
      <c r="AE99">
        <v>1</v>
      </c>
      <c r="AF99">
        <v>1692</v>
      </c>
      <c r="AH99">
        <v>0</v>
      </c>
      <c r="AJ99">
        <v>7279</v>
      </c>
      <c r="AL99">
        <v>43</v>
      </c>
      <c r="AN99">
        <v>1692</v>
      </c>
      <c r="AO99">
        <v>0</v>
      </c>
      <c r="AP99">
        <v>7279</v>
      </c>
      <c r="AQ99">
        <v>43</v>
      </c>
      <c r="AR99">
        <v>36.631</v>
      </c>
      <c r="AS99">
        <v>44</v>
      </c>
      <c r="AU99">
        <v>0.83252300000000001</v>
      </c>
    </row>
    <row r="100" spans="1:47" x14ac:dyDescent="0.3">
      <c r="A100" t="s">
        <v>173</v>
      </c>
      <c r="B100">
        <v>6219.9998969999997</v>
      </c>
      <c r="C100">
        <v>3.3177999999999999E-2</v>
      </c>
      <c r="D100">
        <v>4817793</v>
      </c>
      <c r="E100">
        <v>24132600</v>
      </c>
      <c r="F100">
        <v>10.84</v>
      </c>
      <c r="G100">
        <v>2.25</v>
      </c>
      <c r="H100">
        <v>20003</v>
      </c>
      <c r="I100">
        <v>1</v>
      </c>
      <c r="J100">
        <v>0</v>
      </c>
      <c r="K100">
        <v>1</v>
      </c>
      <c r="L100">
        <v>20003</v>
      </c>
      <c r="M100">
        <v>6219.9998439999999</v>
      </c>
      <c r="N100">
        <v>42.343758999999999</v>
      </c>
      <c r="P100">
        <v>1</v>
      </c>
      <c r="R100">
        <v>26222.999844000002</v>
      </c>
      <c r="S100">
        <v>26222.999897000002</v>
      </c>
      <c r="U100">
        <v>1</v>
      </c>
      <c r="V100">
        <v>1</v>
      </c>
      <c r="W100">
        <v>1</v>
      </c>
      <c r="X100">
        <v>0</v>
      </c>
      <c r="Y100">
        <v>0</v>
      </c>
      <c r="Z100">
        <v>0</v>
      </c>
      <c r="AA100">
        <v>2.25</v>
      </c>
      <c r="AC100">
        <v>29.220580999999999</v>
      </c>
      <c r="AE100">
        <v>1</v>
      </c>
      <c r="AF100">
        <v>8</v>
      </c>
      <c r="AH100">
        <v>0</v>
      </c>
      <c r="AJ100">
        <v>3843</v>
      </c>
      <c r="AL100">
        <v>16</v>
      </c>
      <c r="AN100">
        <v>8</v>
      </c>
      <c r="AO100">
        <v>0</v>
      </c>
      <c r="AP100">
        <v>3843</v>
      </c>
      <c r="AQ100">
        <v>16</v>
      </c>
      <c r="AR100">
        <v>13.935</v>
      </c>
      <c r="AS100">
        <v>17</v>
      </c>
      <c r="AU100">
        <v>0.81970600000000005</v>
      </c>
    </row>
    <row r="101" spans="1:47" x14ac:dyDescent="0.3">
      <c r="A101" t="s">
        <v>174</v>
      </c>
      <c r="B101">
        <v>6159.9997039999998</v>
      </c>
      <c r="C101">
        <v>3.7471999999999998E-2</v>
      </c>
      <c r="D101">
        <v>755294</v>
      </c>
      <c r="E101">
        <v>3153661</v>
      </c>
      <c r="F101">
        <v>1.1619999999999999</v>
      </c>
      <c r="G101">
        <v>0.26500000000000001</v>
      </c>
      <c r="H101">
        <v>30002</v>
      </c>
      <c r="I101">
        <v>1</v>
      </c>
      <c r="J101">
        <v>0</v>
      </c>
      <c r="K101">
        <v>1</v>
      </c>
      <c r="L101">
        <v>30002</v>
      </c>
      <c r="M101">
        <v>6159.9997039999998</v>
      </c>
      <c r="N101">
        <v>120.70307</v>
      </c>
      <c r="P101">
        <v>1</v>
      </c>
      <c r="R101">
        <v>36161.999704000002</v>
      </c>
      <c r="S101">
        <v>36161.999704000002</v>
      </c>
      <c r="U101">
        <v>1</v>
      </c>
      <c r="V101">
        <v>1</v>
      </c>
      <c r="W101">
        <v>1</v>
      </c>
      <c r="X101">
        <v>0</v>
      </c>
      <c r="Y101">
        <v>0</v>
      </c>
      <c r="Z101">
        <v>0</v>
      </c>
      <c r="AA101">
        <v>0.26500000000000001</v>
      </c>
      <c r="AC101">
        <v>119.238598</v>
      </c>
      <c r="AE101">
        <v>1</v>
      </c>
      <c r="AF101">
        <v>92</v>
      </c>
      <c r="AH101">
        <v>0</v>
      </c>
      <c r="AJ101">
        <v>8977</v>
      </c>
      <c r="AL101">
        <v>20</v>
      </c>
      <c r="AN101">
        <v>92</v>
      </c>
      <c r="AO101">
        <v>0</v>
      </c>
      <c r="AP101">
        <v>8977</v>
      </c>
      <c r="AQ101">
        <v>20</v>
      </c>
      <c r="AR101">
        <v>25.814</v>
      </c>
      <c r="AS101">
        <v>23</v>
      </c>
      <c r="AU101">
        <v>1.1223479999999999</v>
      </c>
    </row>
    <row r="102" spans="1:47" x14ac:dyDescent="0.3">
      <c r="A102" t="s">
        <v>175</v>
      </c>
      <c r="B102">
        <v>6519.9997899999998</v>
      </c>
      <c r="C102">
        <v>4.5441000000000002E-2</v>
      </c>
      <c r="D102">
        <v>4488388</v>
      </c>
      <c r="E102">
        <v>22513750</v>
      </c>
      <c r="F102">
        <v>10.164999999999999</v>
      </c>
      <c r="G102">
        <v>2.2290000000000001</v>
      </c>
      <c r="H102">
        <v>30003</v>
      </c>
      <c r="I102">
        <v>1</v>
      </c>
      <c r="J102">
        <v>0</v>
      </c>
      <c r="K102">
        <v>1</v>
      </c>
      <c r="L102">
        <v>30003</v>
      </c>
      <c r="M102">
        <v>6519.9991229999996</v>
      </c>
      <c r="N102">
        <v>115.40588200000001</v>
      </c>
      <c r="P102">
        <v>1</v>
      </c>
      <c r="R102">
        <v>36522.999123000001</v>
      </c>
      <c r="S102">
        <v>36522.999790000002</v>
      </c>
      <c r="U102">
        <v>1</v>
      </c>
      <c r="V102">
        <v>1</v>
      </c>
      <c r="W102">
        <v>1</v>
      </c>
      <c r="X102">
        <v>0</v>
      </c>
      <c r="Y102">
        <v>0</v>
      </c>
      <c r="Z102">
        <v>0</v>
      </c>
      <c r="AA102">
        <v>2.2290000000000001</v>
      </c>
      <c r="AC102">
        <v>102.966441</v>
      </c>
      <c r="AE102">
        <v>1</v>
      </c>
      <c r="AF102">
        <v>106</v>
      </c>
      <c r="AH102">
        <v>0</v>
      </c>
      <c r="AJ102">
        <v>13303</v>
      </c>
      <c r="AL102">
        <v>13</v>
      </c>
      <c r="AN102">
        <v>106</v>
      </c>
      <c r="AO102">
        <v>0</v>
      </c>
      <c r="AP102">
        <v>13303</v>
      </c>
      <c r="AQ102">
        <v>13</v>
      </c>
      <c r="AR102">
        <v>17.37</v>
      </c>
      <c r="AS102">
        <v>14</v>
      </c>
      <c r="AU102">
        <v>1.2407140000000001</v>
      </c>
    </row>
    <row r="103" spans="1:47" x14ac:dyDescent="0.3">
      <c r="A103" t="s">
        <v>176</v>
      </c>
      <c r="B103">
        <v>6160.0000559999999</v>
      </c>
      <c r="C103">
        <v>3.6666999999999998E-2</v>
      </c>
      <c r="D103">
        <v>4363879</v>
      </c>
      <c r="E103">
        <v>21645299</v>
      </c>
      <c r="F103">
        <v>9.7260000000000009</v>
      </c>
      <c r="G103">
        <v>2</v>
      </c>
      <c r="H103">
        <v>20003</v>
      </c>
      <c r="I103">
        <v>1</v>
      </c>
      <c r="J103">
        <v>0</v>
      </c>
      <c r="K103">
        <v>1</v>
      </c>
      <c r="L103">
        <v>20003</v>
      </c>
      <c r="M103">
        <v>6160.0000559999999</v>
      </c>
      <c r="N103">
        <v>248.31955399999998</v>
      </c>
      <c r="P103">
        <v>1</v>
      </c>
      <c r="R103">
        <v>26163.000056000001</v>
      </c>
      <c r="S103">
        <v>26163.000056000001</v>
      </c>
      <c r="U103">
        <v>1</v>
      </c>
      <c r="V103">
        <v>1</v>
      </c>
      <c r="W103">
        <v>1</v>
      </c>
      <c r="X103">
        <v>0</v>
      </c>
      <c r="Y103">
        <v>0</v>
      </c>
      <c r="Z103">
        <v>0</v>
      </c>
      <c r="AA103">
        <v>2</v>
      </c>
      <c r="AC103">
        <v>236.55688699999999</v>
      </c>
      <c r="AE103">
        <v>1</v>
      </c>
      <c r="AF103">
        <v>38</v>
      </c>
      <c r="AH103">
        <v>0</v>
      </c>
      <c r="AJ103">
        <v>7726</v>
      </c>
      <c r="AL103">
        <v>346</v>
      </c>
      <c r="AN103">
        <v>38</v>
      </c>
      <c r="AO103">
        <v>0</v>
      </c>
      <c r="AP103">
        <v>7726</v>
      </c>
      <c r="AQ103">
        <v>346</v>
      </c>
      <c r="AR103">
        <v>193.565</v>
      </c>
      <c r="AS103">
        <v>347</v>
      </c>
      <c r="AU103">
        <v>0.55782399999999999</v>
      </c>
    </row>
    <row r="104" spans="1:47" x14ac:dyDescent="0.3">
      <c r="A104" t="s">
        <v>177</v>
      </c>
      <c r="B104">
        <v>6039.9997530000001</v>
      </c>
      <c r="C104">
        <v>3.2259999999999997E-2</v>
      </c>
      <c r="D104">
        <v>634935</v>
      </c>
      <c r="E104">
        <v>2538279</v>
      </c>
      <c r="F104">
        <v>0.91100000000000003</v>
      </c>
      <c r="G104">
        <v>0.23400000000000001</v>
      </c>
      <c r="H104">
        <v>30002</v>
      </c>
      <c r="I104">
        <v>1</v>
      </c>
      <c r="J104">
        <v>0</v>
      </c>
      <c r="K104">
        <v>1</v>
      </c>
      <c r="L104">
        <v>30002</v>
      </c>
      <c r="M104">
        <v>6039.9997059999996</v>
      </c>
      <c r="N104">
        <v>285.726744</v>
      </c>
      <c r="P104">
        <v>1</v>
      </c>
      <c r="R104">
        <v>36041.999706000002</v>
      </c>
      <c r="S104">
        <v>36041.999752999996</v>
      </c>
      <c r="U104">
        <v>1</v>
      </c>
      <c r="V104">
        <v>1</v>
      </c>
      <c r="W104">
        <v>1</v>
      </c>
      <c r="X104">
        <v>0</v>
      </c>
      <c r="Y104">
        <v>0</v>
      </c>
      <c r="Z104">
        <v>0</v>
      </c>
      <c r="AA104">
        <v>0.23400000000000001</v>
      </c>
      <c r="AC104">
        <v>284.54948400000001</v>
      </c>
      <c r="AE104">
        <v>1</v>
      </c>
      <c r="AF104">
        <v>116</v>
      </c>
      <c r="AH104">
        <v>0</v>
      </c>
      <c r="AJ104">
        <v>15480</v>
      </c>
      <c r="AL104">
        <v>251</v>
      </c>
      <c r="AN104">
        <v>116</v>
      </c>
      <c r="AO104">
        <v>0</v>
      </c>
      <c r="AP104">
        <v>15480</v>
      </c>
      <c r="AQ104">
        <v>251</v>
      </c>
      <c r="AR104">
        <v>229.928</v>
      </c>
      <c r="AS104">
        <v>252</v>
      </c>
      <c r="AU104">
        <v>0.91241300000000003</v>
      </c>
    </row>
    <row r="105" spans="1:47" x14ac:dyDescent="0.3">
      <c r="A105" t="s">
        <v>178</v>
      </c>
      <c r="B105">
        <v>6499.9992549999997</v>
      </c>
      <c r="C105">
        <v>3.3675999999999998E-2</v>
      </c>
      <c r="D105">
        <v>4561458</v>
      </c>
      <c r="E105">
        <v>22829232</v>
      </c>
      <c r="F105">
        <v>10.275</v>
      </c>
      <c r="G105">
        <v>2.1539999999999999</v>
      </c>
      <c r="H105">
        <v>20003</v>
      </c>
      <c r="I105">
        <v>1</v>
      </c>
      <c r="J105">
        <v>0</v>
      </c>
      <c r="K105">
        <v>1</v>
      </c>
      <c r="L105">
        <v>20003</v>
      </c>
      <c r="M105">
        <v>6499.9992549999997</v>
      </c>
      <c r="N105">
        <v>262.14645200000001</v>
      </c>
      <c r="P105">
        <v>1</v>
      </c>
      <c r="R105">
        <v>26502.999254999999</v>
      </c>
      <c r="S105">
        <v>26502.999254999999</v>
      </c>
      <c r="U105">
        <v>1</v>
      </c>
      <c r="V105">
        <v>1</v>
      </c>
      <c r="W105">
        <v>1</v>
      </c>
      <c r="X105">
        <v>0</v>
      </c>
      <c r="Y105">
        <v>0</v>
      </c>
      <c r="Z105">
        <v>0</v>
      </c>
      <c r="AA105">
        <v>2.1539999999999999</v>
      </c>
      <c r="AC105">
        <v>249.68377599999999</v>
      </c>
      <c r="AE105">
        <v>1</v>
      </c>
      <c r="AF105">
        <v>20</v>
      </c>
      <c r="AH105">
        <v>0</v>
      </c>
      <c r="AJ105">
        <v>8954</v>
      </c>
      <c r="AL105">
        <v>208</v>
      </c>
      <c r="AN105">
        <v>20</v>
      </c>
      <c r="AO105">
        <v>0</v>
      </c>
      <c r="AP105">
        <v>8954</v>
      </c>
      <c r="AQ105">
        <v>208</v>
      </c>
      <c r="AR105">
        <v>203.63300000000001</v>
      </c>
      <c r="AS105">
        <v>210</v>
      </c>
      <c r="AU105">
        <v>0.96968100000000002</v>
      </c>
    </row>
    <row r="106" spans="1:47" x14ac:dyDescent="0.3">
      <c r="A106" t="s">
        <v>179</v>
      </c>
      <c r="B106">
        <v>6119.9992899999997</v>
      </c>
      <c r="C106">
        <v>3.2058999999999997E-2</v>
      </c>
      <c r="D106">
        <v>1478102</v>
      </c>
      <c r="E106">
        <v>6817711</v>
      </c>
      <c r="F106">
        <v>2.6960000000000002</v>
      </c>
      <c r="G106">
        <v>0.59199999999999997</v>
      </c>
      <c r="H106">
        <v>30003</v>
      </c>
      <c r="I106">
        <v>1</v>
      </c>
      <c r="J106">
        <v>0</v>
      </c>
      <c r="K106">
        <v>1</v>
      </c>
      <c r="L106">
        <v>30003</v>
      </c>
      <c r="M106">
        <v>6119.9991810000001</v>
      </c>
      <c r="N106">
        <v>81.126827000000006</v>
      </c>
      <c r="P106">
        <v>1</v>
      </c>
      <c r="R106">
        <v>36122.999180999999</v>
      </c>
      <c r="S106">
        <v>36122.99929</v>
      </c>
      <c r="U106">
        <v>1</v>
      </c>
      <c r="V106">
        <v>1</v>
      </c>
      <c r="W106">
        <v>1</v>
      </c>
      <c r="X106">
        <v>0</v>
      </c>
      <c r="Y106">
        <v>0</v>
      </c>
      <c r="Z106">
        <v>0</v>
      </c>
      <c r="AA106">
        <v>0.59199999999999997</v>
      </c>
      <c r="AC106">
        <v>77.806768000000005</v>
      </c>
      <c r="AE106">
        <v>1</v>
      </c>
      <c r="AF106">
        <v>40</v>
      </c>
      <c r="AH106">
        <v>0</v>
      </c>
      <c r="AJ106">
        <v>3383</v>
      </c>
      <c r="AL106">
        <v>18</v>
      </c>
      <c r="AN106">
        <v>40</v>
      </c>
      <c r="AO106">
        <v>0</v>
      </c>
      <c r="AP106">
        <v>3383</v>
      </c>
      <c r="AQ106">
        <v>18</v>
      </c>
      <c r="AR106">
        <v>17.748000000000001</v>
      </c>
      <c r="AS106">
        <v>20</v>
      </c>
      <c r="AU106">
        <v>0.88739999999999997</v>
      </c>
    </row>
    <row r="107" spans="1:47" x14ac:dyDescent="0.3">
      <c r="A107" t="s">
        <v>180</v>
      </c>
      <c r="B107">
        <v>6129.9999589999998</v>
      </c>
      <c r="C107">
        <v>3.8099000000000001E-2</v>
      </c>
      <c r="D107">
        <v>2351901</v>
      </c>
      <c r="E107">
        <v>11217120</v>
      </c>
      <c r="F107">
        <v>6.4779999999999998</v>
      </c>
      <c r="G107">
        <v>1.21</v>
      </c>
      <c r="H107">
        <v>30002</v>
      </c>
      <c r="I107">
        <v>1</v>
      </c>
      <c r="J107">
        <v>0</v>
      </c>
      <c r="K107">
        <v>1</v>
      </c>
      <c r="L107">
        <v>30002</v>
      </c>
      <c r="M107">
        <v>6129.9999589999998</v>
      </c>
      <c r="N107">
        <v>74.802634000000012</v>
      </c>
      <c r="P107">
        <v>1</v>
      </c>
      <c r="R107">
        <v>36131.999959000001</v>
      </c>
      <c r="S107">
        <v>36131.999959000001</v>
      </c>
      <c r="U107">
        <v>1</v>
      </c>
      <c r="V107">
        <v>1</v>
      </c>
      <c r="W107">
        <v>1</v>
      </c>
      <c r="X107">
        <v>0</v>
      </c>
      <c r="Y107">
        <v>0</v>
      </c>
      <c r="Z107">
        <v>0</v>
      </c>
      <c r="AA107">
        <v>1.21</v>
      </c>
      <c r="AC107">
        <v>67.076535000000007</v>
      </c>
      <c r="AE107">
        <v>1</v>
      </c>
      <c r="AF107">
        <v>162</v>
      </c>
      <c r="AH107">
        <v>0</v>
      </c>
      <c r="AJ107">
        <v>4332</v>
      </c>
      <c r="AL107">
        <v>0</v>
      </c>
      <c r="AN107">
        <v>162</v>
      </c>
      <c r="AO107">
        <v>0</v>
      </c>
      <c r="AP107">
        <v>4332</v>
      </c>
      <c r="AQ107">
        <v>0</v>
      </c>
      <c r="AR107">
        <v>0.67</v>
      </c>
      <c r="AS107">
        <v>1</v>
      </c>
      <c r="AU107">
        <v>0.67</v>
      </c>
    </row>
    <row r="108" spans="1:47" x14ac:dyDescent="0.3">
      <c r="A108" t="s">
        <v>181</v>
      </c>
      <c r="B108">
        <v>6539.999992</v>
      </c>
      <c r="C108">
        <v>3.4819000000000003E-2</v>
      </c>
      <c r="D108">
        <v>4828482</v>
      </c>
      <c r="E108">
        <v>24210023</v>
      </c>
      <c r="F108">
        <v>10.914</v>
      </c>
      <c r="G108">
        <v>2.3130000000000002</v>
      </c>
      <c r="H108">
        <v>20003</v>
      </c>
      <c r="I108">
        <v>1</v>
      </c>
      <c r="J108">
        <v>0</v>
      </c>
      <c r="K108">
        <v>1</v>
      </c>
      <c r="L108">
        <v>20003</v>
      </c>
      <c r="M108">
        <v>6539.999992</v>
      </c>
      <c r="N108">
        <v>45.534562000000001</v>
      </c>
      <c r="P108">
        <v>1</v>
      </c>
      <c r="R108">
        <v>26542.999992000001</v>
      </c>
      <c r="S108">
        <v>26542.999992000001</v>
      </c>
      <c r="U108">
        <v>1</v>
      </c>
      <c r="V108">
        <v>1</v>
      </c>
      <c r="W108">
        <v>1</v>
      </c>
      <c r="X108">
        <v>0</v>
      </c>
      <c r="Y108">
        <v>0</v>
      </c>
      <c r="Z108">
        <v>0</v>
      </c>
      <c r="AA108">
        <v>2.3130000000000002</v>
      </c>
      <c r="AC108">
        <v>32.272742999999998</v>
      </c>
      <c r="AE108">
        <v>1</v>
      </c>
      <c r="AF108">
        <v>30</v>
      </c>
      <c r="AH108">
        <v>0</v>
      </c>
      <c r="AJ108">
        <v>3242</v>
      </c>
      <c r="AL108">
        <v>7</v>
      </c>
      <c r="AN108">
        <v>30</v>
      </c>
      <c r="AO108">
        <v>0</v>
      </c>
      <c r="AP108">
        <v>3242</v>
      </c>
      <c r="AQ108">
        <v>7</v>
      </c>
      <c r="AR108">
        <v>7.5910000000000002</v>
      </c>
      <c r="AS108">
        <v>10</v>
      </c>
      <c r="AU108">
        <v>0.7591</v>
      </c>
    </row>
    <row r="109" spans="1:47" x14ac:dyDescent="0.3">
      <c r="A109" t="s">
        <v>182</v>
      </c>
      <c r="B109">
        <v>6039.9997530000001</v>
      </c>
      <c r="C109">
        <v>3.3895000000000002E-2</v>
      </c>
      <c r="D109">
        <v>2765691</v>
      </c>
      <c r="E109">
        <v>13500595</v>
      </c>
      <c r="F109">
        <v>5.6449999999999996</v>
      </c>
      <c r="G109">
        <v>1.268</v>
      </c>
      <c r="H109">
        <v>30003</v>
      </c>
      <c r="I109">
        <v>1</v>
      </c>
      <c r="J109">
        <v>0</v>
      </c>
      <c r="K109">
        <v>1</v>
      </c>
      <c r="L109">
        <v>30003</v>
      </c>
      <c r="M109">
        <v>6039.9997649999996</v>
      </c>
      <c r="N109">
        <v>44.670541</v>
      </c>
      <c r="P109">
        <v>1</v>
      </c>
      <c r="R109">
        <v>36042.999765</v>
      </c>
      <c r="S109">
        <v>36042.999752999996</v>
      </c>
      <c r="U109">
        <v>1</v>
      </c>
      <c r="V109">
        <v>1</v>
      </c>
      <c r="W109">
        <v>1</v>
      </c>
      <c r="X109">
        <v>0</v>
      </c>
      <c r="Y109">
        <v>0</v>
      </c>
      <c r="Z109">
        <v>0</v>
      </c>
      <c r="AA109">
        <v>1.268</v>
      </c>
      <c r="AC109">
        <v>37.723646000000002</v>
      </c>
      <c r="AE109">
        <v>1</v>
      </c>
      <c r="AF109">
        <v>340</v>
      </c>
      <c r="AH109">
        <v>0</v>
      </c>
      <c r="AJ109">
        <v>3883</v>
      </c>
      <c r="AL109">
        <v>6</v>
      </c>
      <c r="AN109">
        <v>340</v>
      </c>
      <c r="AO109">
        <v>0</v>
      </c>
      <c r="AP109">
        <v>3883</v>
      </c>
      <c r="AQ109">
        <v>6</v>
      </c>
      <c r="AR109">
        <v>6.7610000000000001</v>
      </c>
      <c r="AS109">
        <v>7</v>
      </c>
      <c r="AU109">
        <v>0.96585699999999997</v>
      </c>
    </row>
    <row r="110" spans="1:47" x14ac:dyDescent="0.3">
      <c r="A110" t="s">
        <v>183</v>
      </c>
      <c r="B110">
        <v>6559.99946</v>
      </c>
      <c r="C110">
        <v>3.9241999999999999E-2</v>
      </c>
      <c r="D110">
        <v>765668</v>
      </c>
      <c r="E110">
        <v>3189615</v>
      </c>
      <c r="F110">
        <v>1.1559999999999999</v>
      </c>
      <c r="G110">
        <v>0.27</v>
      </c>
      <c r="H110">
        <v>30002</v>
      </c>
      <c r="I110">
        <v>1</v>
      </c>
      <c r="J110">
        <v>0</v>
      </c>
      <c r="K110">
        <v>1</v>
      </c>
      <c r="L110">
        <v>30002</v>
      </c>
      <c r="M110">
        <v>6559.9994580000002</v>
      </c>
      <c r="N110">
        <v>153.45350099999999</v>
      </c>
      <c r="P110">
        <v>1</v>
      </c>
      <c r="R110">
        <v>36561.999457999998</v>
      </c>
      <c r="S110">
        <v>36561.999459999999</v>
      </c>
      <c r="U110">
        <v>1</v>
      </c>
      <c r="V110">
        <v>1</v>
      </c>
      <c r="W110">
        <v>1</v>
      </c>
      <c r="X110">
        <v>0</v>
      </c>
      <c r="Y110">
        <v>0</v>
      </c>
      <c r="Z110">
        <v>0</v>
      </c>
      <c r="AA110">
        <v>0.27</v>
      </c>
      <c r="AC110">
        <v>151.988259</v>
      </c>
      <c r="AE110">
        <v>1</v>
      </c>
      <c r="AF110">
        <v>1713</v>
      </c>
      <c r="AH110">
        <v>0</v>
      </c>
      <c r="AJ110">
        <v>17644</v>
      </c>
      <c r="AL110">
        <v>47</v>
      </c>
      <c r="AN110">
        <v>1713</v>
      </c>
      <c r="AO110">
        <v>0</v>
      </c>
      <c r="AP110">
        <v>17644</v>
      </c>
      <c r="AQ110">
        <v>47</v>
      </c>
      <c r="AR110">
        <v>39.918999999999997</v>
      </c>
      <c r="AS110">
        <v>49</v>
      </c>
      <c r="AU110">
        <v>0.81467299999999998</v>
      </c>
    </row>
    <row r="111" spans="1:47" x14ac:dyDescent="0.3">
      <c r="A111" t="s">
        <v>184</v>
      </c>
      <c r="B111">
        <v>6169.9993130000003</v>
      </c>
      <c r="C111">
        <v>3.9623999999999999E-2</v>
      </c>
      <c r="D111">
        <v>2212660</v>
      </c>
      <c r="E111">
        <v>10641782</v>
      </c>
      <c r="F111">
        <v>4.3810000000000002</v>
      </c>
      <c r="G111">
        <v>1.0409999999999999</v>
      </c>
      <c r="H111">
        <v>30003</v>
      </c>
      <c r="I111">
        <v>1</v>
      </c>
      <c r="J111">
        <v>0</v>
      </c>
      <c r="K111">
        <v>1</v>
      </c>
      <c r="L111">
        <v>30003</v>
      </c>
      <c r="M111">
        <v>6169.9993130000003</v>
      </c>
      <c r="N111">
        <v>139.69476900000001</v>
      </c>
      <c r="P111">
        <v>1</v>
      </c>
      <c r="R111">
        <v>36172.999313</v>
      </c>
      <c r="S111">
        <v>36172.999313</v>
      </c>
      <c r="U111">
        <v>1</v>
      </c>
      <c r="V111">
        <v>1</v>
      </c>
      <c r="W111">
        <v>1</v>
      </c>
      <c r="X111">
        <v>0</v>
      </c>
      <c r="Y111">
        <v>0</v>
      </c>
      <c r="Z111">
        <v>0</v>
      </c>
      <c r="AA111">
        <v>1.0409999999999999</v>
      </c>
      <c r="AC111">
        <v>134.23314500000001</v>
      </c>
      <c r="AE111">
        <v>1</v>
      </c>
      <c r="AF111">
        <v>411</v>
      </c>
      <c r="AH111">
        <v>0</v>
      </c>
      <c r="AJ111">
        <v>18228</v>
      </c>
      <c r="AL111">
        <v>9</v>
      </c>
      <c r="AN111">
        <v>411</v>
      </c>
      <c r="AO111">
        <v>0</v>
      </c>
      <c r="AP111">
        <v>18228</v>
      </c>
      <c r="AQ111">
        <v>9</v>
      </c>
      <c r="AR111">
        <v>11.022</v>
      </c>
      <c r="AS111">
        <v>14</v>
      </c>
      <c r="AU111">
        <v>0.78728600000000004</v>
      </c>
    </row>
    <row r="112" spans="1:47" x14ac:dyDescent="0.3">
      <c r="A112" t="s">
        <v>185</v>
      </c>
      <c r="B112">
        <v>6149.9999760000001</v>
      </c>
      <c r="C112">
        <v>3.5526000000000002E-2</v>
      </c>
      <c r="D112">
        <v>1938678</v>
      </c>
      <c r="E112">
        <v>9167152</v>
      </c>
      <c r="F112">
        <v>3.7839999999999998</v>
      </c>
      <c r="G112">
        <v>0.80700000000000005</v>
      </c>
      <c r="H112">
        <v>30003</v>
      </c>
      <c r="I112">
        <v>1</v>
      </c>
      <c r="J112">
        <v>0</v>
      </c>
      <c r="K112">
        <v>1</v>
      </c>
      <c r="L112">
        <v>30003</v>
      </c>
      <c r="M112">
        <v>6149.9998750000004</v>
      </c>
      <c r="N112">
        <v>149.14288900000003</v>
      </c>
      <c r="P112">
        <v>1</v>
      </c>
      <c r="R112">
        <v>36152.999875000001</v>
      </c>
      <c r="S112">
        <v>36152.999975999999</v>
      </c>
      <c r="U112">
        <v>1</v>
      </c>
      <c r="V112">
        <v>1</v>
      </c>
      <c r="W112">
        <v>1</v>
      </c>
      <c r="X112">
        <v>0</v>
      </c>
      <c r="Y112">
        <v>0</v>
      </c>
      <c r="Z112">
        <v>0</v>
      </c>
      <c r="AA112">
        <v>0.80700000000000005</v>
      </c>
      <c r="AC112">
        <v>144.51636300000001</v>
      </c>
      <c r="AE112">
        <v>1</v>
      </c>
      <c r="AF112">
        <v>7072</v>
      </c>
      <c r="AH112">
        <v>0</v>
      </c>
      <c r="AJ112">
        <v>14275</v>
      </c>
      <c r="AL112">
        <v>15</v>
      </c>
      <c r="AN112">
        <v>7072</v>
      </c>
      <c r="AO112">
        <v>0</v>
      </c>
      <c r="AP112">
        <v>14275</v>
      </c>
      <c r="AQ112">
        <v>15</v>
      </c>
      <c r="AR112">
        <v>12.529</v>
      </c>
      <c r="AS112">
        <v>16</v>
      </c>
      <c r="AU112">
        <v>0.78306200000000004</v>
      </c>
    </row>
    <row r="113" spans="1:48" x14ac:dyDescent="0.3">
      <c r="A113" t="s">
        <v>186</v>
      </c>
      <c r="B113">
        <v>6169.9997720000001</v>
      </c>
      <c r="C113">
        <v>3.8994000000000001E-2</v>
      </c>
      <c r="D113">
        <v>975909</v>
      </c>
      <c r="E113">
        <v>4084097</v>
      </c>
      <c r="F113">
        <v>1.5249999999999999</v>
      </c>
      <c r="G113">
        <v>0.40100000000000002</v>
      </c>
      <c r="H113">
        <v>20003</v>
      </c>
      <c r="I113">
        <v>1</v>
      </c>
      <c r="J113">
        <v>0</v>
      </c>
      <c r="K113">
        <v>1</v>
      </c>
      <c r="L113">
        <v>20003</v>
      </c>
      <c r="M113">
        <v>6169.9997720000001</v>
      </c>
      <c r="N113">
        <v>259.11932100000001</v>
      </c>
      <c r="P113">
        <v>1</v>
      </c>
      <c r="R113">
        <v>26172.999771999999</v>
      </c>
      <c r="S113">
        <v>26172.999771999999</v>
      </c>
      <c r="U113">
        <v>1</v>
      </c>
      <c r="V113">
        <v>1</v>
      </c>
      <c r="W113">
        <v>1</v>
      </c>
      <c r="X113">
        <v>0</v>
      </c>
      <c r="Y113">
        <v>0</v>
      </c>
      <c r="Z113">
        <v>0</v>
      </c>
      <c r="AA113">
        <v>0.40100000000000002</v>
      </c>
      <c r="AC113">
        <v>257.15432700000002</v>
      </c>
      <c r="AE113">
        <v>1</v>
      </c>
      <c r="AF113">
        <v>23</v>
      </c>
      <c r="AH113">
        <v>0</v>
      </c>
      <c r="AJ113">
        <v>10362</v>
      </c>
      <c r="AL113">
        <v>279</v>
      </c>
      <c r="AN113">
        <v>23</v>
      </c>
      <c r="AO113">
        <v>0</v>
      </c>
      <c r="AP113">
        <v>10362</v>
      </c>
      <c r="AQ113">
        <v>279</v>
      </c>
      <c r="AR113">
        <v>209.911</v>
      </c>
      <c r="AS113">
        <v>280</v>
      </c>
      <c r="AU113">
        <v>0.74968199999999996</v>
      </c>
    </row>
    <row r="114" spans="1:48" x14ac:dyDescent="0.3">
      <c r="A114" t="s">
        <v>187</v>
      </c>
      <c r="B114">
        <v>6150.0007329999999</v>
      </c>
      <c r="C114">
        <v>3.3966999999999997E-2</v>
      </c>
      <c r="D114">
        <v>4018394</v>
      </c>
      <c r="E114">
        <v>19827182</v>
      </c>
      <c r="F114">
        <v>8.6760000000000002</v>
      </c>
      <c r="G114">
        <v>2.0619999999999998</v>
      </c>
      <c r="H114">
        <v>20003</v>
      </c>
      <c r="I114">
        <v>1</v>
      </c>
      <c r="J114">
        <v>0</v>
      </c>
      <c r="K114">
        <v>1</v>
      </c>
      <c r="L114">
        <v>20003</v>
      </c>
      <c r="M114">
        <v>6150.0006679999997</v>
      </c>
      <c r="N114">
        <v>235.26418199999998</v>
      </c>
      <c r="P114">
        <v>1</v>
      </c>
      <c r="R114">
        <v>26153.000668000001</v>
      </c>
      <c r="S114">
        <v>26153.000733000001</v>
      </c>
      <c r="U114">
        <v>1</v>
      </c>
      <c r="V114">
        <v>1</v>
      </c>
      <c r="W114">
        <v>1</v>
      </c>
      <c r="X114">
        <v>0</v>
      </c>
      <c r="Y114">
        <v>0</v>
      </c>
      <c r="Z114">
        <v>0</v>
      </c>
      <c r="AA114">
        <v>2.0619999999999998</v>
      </c>
      <c r="AC114">
        <v>224.49221499999999</v>
      </c>
      <c r="AE114">
        <v>1</v>
      </c>
      <c r="AF114">
        <v>6702</v>
      </c>
      <c r="AH114">
        <v>0</v>
      </c>
      <c r="AJ114">
        <v>17977</v>
      </c>
      <c r="AL114">
        <v>79</v>
      </c>
      <c r="AN114">
        <v>6702</v>
      </c>
      <c r="AO114">
        <v>0</v>
      </c>
      <c r="AP114">
        <v>17977</v>
      </c>
      <c r="AQ114">
        <v>79</v>
      </c>
      <c r="AR114">
        <v>66.012</v>
      </c>
      <c r="AS114">
        <v>80</v>
      </c>
      <c r="AU114">
        <v>0.82515000000000005</v>
      </c>
    </row>
    <row r="115" spans="1:48" x14ac:dyDescent="0.3">
      <c r="A115" t="s">
        <v>188</v>
      </c>
      <c r="B115">
        <v>6149.9995650000001</v>
      </c>
      <c r="C115">
        <v>3.4455E-2</v>
      </c>
      <c r="D115">
        <v>428994</v>
      </c>
      <c r="E115">
        <v>1658027</v>
      </c>
      <c r="F115">
        <v>0.56899999999999995</v>
      </c>
      <c r="G115">
        <v>0.17299999999999999</v>
      </c>
      <c r="H115">
        <v>30002</v>
      </c>
      <c r="I115">
        <v>1</v>
      </c>
      <c r="J115">
        <v>0</v>
      </c>
      <c r="K115">
        <v>1</v>
      </c>
      <c r="L115">
        <v>30002</v>
      </c>
      <c r="M115">
        <v>6149.9995650000001</v>
      </c>
      <c r="N115">
        <v>30.126193999999998</v>
      </c>
      <c r="P115">
        <v>1</v>
      </c>
      <c r="R115">
        <v>36151.999564999998</v>
      </c>
      <c r="S115">
        <v>36151.999564999998</v>
      </c>
      <c r="U115">
        <v>1</v>
      </c>
      <c r="V115">
        <v>1</v>
      </c>
      <c r="W115">
        <v>1</v>
      </c>
      <c r="X115">
        <v>0</v>
      </c>
      <c r="Y115">
        <v>0</v>
      </c>
      <c r="Z115">
        <v>0</v>
      </c>
      <c r="AA115">
        <v>0.17299999999999999</v>
      </c>
      <c r="AC115">
        <v>29.349739</v>
      </c>
      <c r="AE115">
        <v>1</v>
      </c>
      <c r="AF115">
        <v>53</v>
      </c>
      <c r="AH115">
        <v>0</v>
      </c>
      <c r="AJ115">
        <v>6456</v>
      </c>
      <c r="AL115">
        <v>1</v>
      </c>
      <c r="AN115">
        <v>53</v>
      </c>
      <c r="AO115">
        <v>0</v>
      </c>
      <c r="AP115">
        <v>6456</v>
      </c>
      <c r="AQ115">
        <v>1</v>
      </c>
      <c r="AR115">
        <v>1.4279999999999999</v>
      </c>
      <c r="AS115">
        <v>2</v>
      </c>
      <c r="AU115">
        <v>0.71399999999999997</v>
      </c>
    </row>
    <row r="116" spans="1:48" x14ac:dyDescent="0.3">
      <c r="A116" t="s">
        <v>189</v>
      </c>
      <c r="B116">
        <v>6149.9999850000004</v>
      </c>
      <c r="C116">
        <v>4.1881000000000002E-2</v>
      </c>
      <c r="D116">
        <v>2038832</v>
      </c>
      <c r="E116">
        <v>9618796</v>
      </c>
      <c r="F116">
        <v>3.8740000000000001</v>
      </c>
      <c r="G116">
        <v>0.94599999999999995</v>
      </c>
      <c r="H116">
        <v>30003</v>
      </c>
      <c r="I116">
        <v>1</v>
      </c>
      <c r="J116">
        <v>0</v>
      </c>
      <c r="K116">
        <v>1</v>
      </c>
      <c r="L116">
        <v>30003</v>
      </c>
      <c r="M116">
        <v>6149.9999850000004</v>
      </c>
      <c r="N116">
        <v>766.20855600000004</v>
      </c>
      <c r="P116">
        <v>1</v>
      </c>
      <c r="R116">
        <v>36152.999985000002</v>
      </c>
      <c r="S116">
        <v>36152.999985000002</v>
      </c>
      <c r="U116">
        <v>1</v>
      </c>
      <c r="V116">
        <v>1</v>
      </c>
      <c r="W116">
        <v>1</v>
      </c>
      <c r="X116">
        <v>0</v>
      </c>
      <c r="Y116">
        <v>0</v>
      </c>
      <c r="Z116">
        <v>0</v>
      </c>
      <c r="AA116">
        <v>0.94599999999999995</v>
      </c>
      <c r="AC116">
        <v>761.346675</v>
      </c>
      <c r="AE116">
        <v>1</v>
      </c>
      <c r="AF116">
        <v>18655</v>
      </c>
      <c r="AH116">
        <v>0</v>
      </c>
      <c r="AJ116">
        <v>90522</v>
      </c>
      <c r="AL116">
        <v>289</v>
      </c>
      <c r="AN116">
        <v>18655</v>
      </c>
      <c r="AO116">
        <v>0</v>
      </c>
      <c r="AP116">
        <v>90522</v>
      </c>
      <c r="AQ116">
        <v>289</v>
      </c>
      <c r="AR116">
        <v>198.44399999999999</v>
      </c>
      <c r="AS116">
        <v>290</v>
      </c>
      <c r="AU116">
        <v>0.68428999999999995</v>
      </c>
    </row>
    <row r="117" spans="1:48" x14ac:dyDescent="0.3">
      <c r="A117" t="s">
        <v>190</v>
      </c>
      <c r="B117">
        <v>6090.0001590000002</v>
      </c>
      <c r="C117">
        <v>3.6534999999999998E-2</v>
      </c>
      <c r="D117">
        <v>4780748</v>
      </c>
      <c r="E117">
        <v>23957516</v>
      </c>
      <c r="F117">
        <v>10.957000000000001</v>
      </c>
      <c r="G117">
        <v>2.2789999999999999</v>
      </c>
      <c r="H117">
        <v>20003</v>
      </c>
      <c r="I117">
        <v>1</v>
      </c>
      <c r="J117">
        <v>0</v>
      </c>
      <c r="K117">
        <v>1</v>
      </c>
      <c r="L117">
        <v>20003</v>
      </c>
      <c r="M117">
        <v>6090.0001339999999</v>
      </c>
      <c r="N117">
        <v>28.336245000000002</v>
      </c>
      <c r="P117">
        <v>1</v>
      </c>
      <c r="R117">
        <v>26093.000134000002</v>
      </c>
      <c r="S117">
        <v>26093.000158999999</v>
      </c>
      <c r="U117">
        <v>1</v>
      </c>
      <c r="V117">
        <v>1</v>
      </c>
      <c r="W117">
        <v>1</v>
      </c>
      <c r="X117">
        <v>0</v>
      </c>
      <c r="Y117">
        <v>0</v>
      </c>
      <c r="Z117">
        <v>0</v>
      </c>
      <c r="AA117">
        <v>2.2789999999999999</v>
      </c>
      <c r="AC117">
        <v>15.06371</v>
      </c>
      <c r="AE117">
        <v>1</v>
      </c>
      <c r="AF117">
        <v>270</v>
      </c>
      <c r="AH117">
        <v>0</v>
      </c>
      <c r="AJ117">
        <v>581</v>
      </c>
      <c r="AL117">
        <v>1</v>
      </c>
      <c r="AN117">
        <v>270</v>
      </c>
      <c r="AO117">
        <v>0</v>
      </c>
      <c r="AP117">
        <v>581</v>
      </c>
      <c r="AQ117">
        <v>1</v>
      </c>
      <c r="AR117">
        <v>4.9240000000000004</v>
      </c>
      <c r="AS117">
        <v>2</v>
      </c>
      <c r="AU117">
        <v>2.4620000000000002</v>
      </c>
    </row>
    <row r="118" spans="1:48" x14ac:dyDescent="0.3">
      <c r="A118" t="s">
        <v>191</v>
      </c>
      <c r="B118">
        <v>6159.9997039999998</v>
      </c>
      <c r="C118">
        <v>3.9509000000000002E-2</v>
      </c>
      <c r="D118">
        <v>2804385</v>
      </c>
      <c r="E118">
        <v>13735556</v>
      </c>
      <c r="F118">
        <v>5.8159999999999998</v>
      </c>
      <c r="G118">
        <v>1.3049999999999999</v>
      </c>
      <c r="H118">
        <v>40002</v>
      </c>
      <c r="I118">
        <v>1</v>
      </c>
      <c r="J118">
        <v>0</v>
      </c>
      <c r="K118">
        <v>1</v>
      </c>
      <c r="L118">
        <v>40002</v>
      </c>
      <c r="M118">
        <v>6159.9997039999998</v>
      </c>
      <c r="N118">
        <v>123.91309200000001</v>
      </c>
      <c r="P118">
        <v>1</v>
      </c>
      <c r="R118">
        <v>46161.999704000002</v>
      </c>
      <c r="S118">
        <v>46161.999704000002</v>
      </c>
      <c r="U118">
        <v>1</v>
      </c>
      <c r="V118">
        <v>1</v>
      </c>
      <c r="W118">
        <v>1</v>
      </c>
      <c r="X118">
        <v>0</v>
      </c>
      <c r="Y118">
        <v>0</v>
      </c>
      <c r="Z118">
        <v>0</v>
      </c>
      <c r="AA118">
        <v>1.3049999999999999</v>
      </c>
      <c r="AC118">
        <v>116.752583</v>
      </c>
      <c r="AE118">
        <v>1</v>
      </c>
      <c r="AF118">
        <v>95</v>
      </c>
      <c r="AH118">
        <v>0</v>
      </c>
      <c r="AJ118">
        <v>3113</v>
      </c>
      <c r="AL118">
        <v>97</v>
      </c>
      <c r="AN118">
        <v>95</v>
      </c>
      <c r="AO118">
        <v>0</v>
      </c>
      <c r="AP118">
        <v>3113</v>
      </c>
      <c r="AQ118">
        <v>97</v>
      </c>
      <c r="AR118">
        <v>79.507000000000005</v>
      </c>
      <c r="AS118">
        <v>101</v>
      </c>
      <c r="AU118">
        <v>0.78719799999999995</v>
      </c>
    </row>
    <row r="119" spans="1:48" x14ac:dyDescent="0.3">
      <c r="A119" t="s">
        <v>192</v>
      </c>
      <c r="B119">
        <v>6159.9995200000003</v>
      </c>
      <c r="C119">
        <v>3.4153999999999997E-2</v>
      </c>
      <c r="D119">
        <v>923456</v>
      </c>
      <c r="E119">
        <v>3840066</v>
      </c>
      <c r="F119">
        <v>1.4379999999999999</v>
      </c>
      <c r="G119">
        <v>0.38900000000000001</v>
      </c>
      <c r="H119">
        <v>30002</v>
      </c>
      <c r="I119">
        <v>1</v>
      </c>
      <c r="J119">
        <v>0</v>
      </c>
      <c r="K119">
        <v>1</v>
      </c>
      <c r="L119">
        <v>30002</v>
      </c>
      <c r="M119">
        <v>6159.9994930000003</v>
      </c>
      <c r="N119">
        <v>445.45258100000001</v>
      </c>
      <c r="P119">
        <v>1</v>
      </c>
      <c r="R119">
        <v>36161.999493000003</v>
      </c>
      <c r="S119">
        <v>36161.999519999998</v>
      </c>
      <c r="U119">
        <v>1</v>
      </c>
      <c r="V119">
        <v>1</v>
      </c>
      <c r="W119">
        <v>1</v>
      </c>
      <c r="X119">
        <v>0</v>
      </c>
      <c r="Y119">
        <v>0</v>
      </c>
      <c r="Z119">
        <v>0</v>
      </c>
      <c r="AA119">
        <v>0.38900000000000001</v>
      </c>
      <c r="AC119">
        <v>443.59142700000001</v>
      </c>
      <c r="AE119">
        <v>1</v>
      </c>
      <c r="AF119">
        <v>1895</v>
      </c>
      <c r="AH119">
        <v>0</v>
      </c>
      <c r="AJ119">
        <v>16255</v>
      </c>
      <c r="AL119">
        <v>437</v>
      </c>
      <c r="AN119">
        <v>1895</v>
      </c>
      <c r="AO119">
        <v>0</v>
      </c>
      <c r="AP119">
        <v>16255</v>
      </c>
      <c r="AQ119">
        <v>437</v>
      </c>
      <c r="AR119">
        <v>304.67700000000002</v>
      </c>
      <c r="AS119">
        <v>439</v>
      </c>
      <c r="AU119">
        <v>0.694025</v>
      </c>
    </row>
    <row r="120" spans="1:48" x14ac:dyDescent="0.3">
      <c r="A120" t="s">
        <v>193</v>
      </c>
      <c r="B120">
        <v>6159.9999610000004</v>
      </c>
      <c r="C120">
        <v>4.4313999999999999E-2</v>
      </c>
      <c r="D120">
        <v>671269</v>
      </c>
      <c r="E120">
        <v>2751104</v>
      </c>
      <c r="F120">
        <v>1.0089999999999999</v>
      </c>
      <c r="G120">
        <v>0.23799999999999999</v>
      </c>
      <c r="H120">
        <v>20004</v>
      </c>
      <c r="I120">
        <v>1</v>
      </c>
      <c r="J120">
        <v>0</v>
      </c>
      <c r="K120">
        <v>1</v>
      </c>
      <c r="L120">
        <v>20004</v>
      </c>
      <c r="M120">
        <v>6159.9998919999998</v>
      </c>
      <c r="N120">
        <v>1221.030262</v>
      </c>
      <c r="P120">
        <v>1</v>
      </c>
      <c r="R120">
        <v>26163.999892</v>
      </c>
      <c r="S120">
        <v>26163.999961000001</v>
      </c>
      <c r="U120">
        <v>1</v>
      </c>
      <c r="V120">
        <v>1</v>
      </c>
      <c r="W120">
        <v>1</v>
      </c>
      <c r="X120">
        <v>0</v>
      </c>
      <c r="Y120">
        <v>0</v>
      </c>
      <c r="Z120">
        <v>0</v>
      </c>
      <c r="AA120">
        <v>0.23799999999999999</v>
      </c>
      <c r="AC120">
        <v>1219.7389479999999</v>
      </c>
      <c r="AE120">
        <v>1</v>
      </c>
      <c r="AF120">
        <v>8843</v>
      </c>
      <c r="AH120">
        <v>0</v>
      </c>
      <c r="AJ120">
        <v>30659</v>
      </c>
      <c r="AL120">
        <v>1073</v>
      </c>
      <c r="AN120">
        <v>8843</v>
      </c>
      <c r="AO120">
        <v>0</v>
      </c>
      <c r="AP120">
        <v>30659</v>
      </c>
      <c r="AQ120">
        <v>1073</v>
      </c>
      <c r="AR120">
        <v>887.41700000000003</v>
      </c>
      <c r="AS120">
        <v>1074</v>
      </c>
      <c r="AU120">
        <v>0.82627300000000004</v>
      </c>
    </row>
    <row r="121" spans="1:48" s="1" customFormat="1" x14ac:dyDescent="0.3">
      <c r="A121" s="1" t="s">
        <v>194</v>
      </c>
      <c r="B121" s="1">
        <v>6480.000043</v>
      </c>
      <c r="C121" s="1">
        <v>4.9414E-2</v>
      </c>
      <c r="D121" s="1">
        <v>687239</v>
      </c>
      <c r="E121" s="1">
        <v>2825240</v>
      </c>
      <c r="F121" s="1">
        <v>6.2160000000000002</v>
      </c>
      <c r="G121" s="1">
        <v>0.67</v>
      </c>
      <c r="H121" s="1">
        <v>30002</v>
      </c>
      <c r="I121" s="1">
        <v>1</v>
      </c>
      <c r="J121" s="1">
        <v>0</v>
      </c>
      <c r="K121" s="1">
        <v>1</v>
      </c>
      <c r="L121" s="1">
        <v>30002</v>
      </c>
      <c r="M121" s="1">
        <v>6480.000043</v>
      </c>
      <c r="N121" s="1">
        <v>1682.4736620000001</v>
      </c>
      <c r="P121" s="1">
        <v>1</v>
      </c>
      <c r="R121" s="1">
        <v>36482.000043</v>
      </c>
      <c r="S121" s="1">
        <v>36482.000043</v>
      </c>
      <c r="U121" s="1">
        <v>1</v>
      </c>
      <c r="V121" s="1">
        <v>1</v>
      </c>
      <c r="W121" s="1">
        <v>1</v>
      </c>
      <c r="X121" s="1">
        <v>0</v>
      </c>
      <c r="Y121" s="1">
        <v>0</v>
      </c>
      <c r="Z121" s="1">
        <v>0</v>
      </c>
      <c r="AA121" s="1">
        <v>0.67</v>
      </c>
      <c r="AC121" s="1">
        <v>1675.5382480000001</v>
      </c>
      <c r="AE121" s="1">
        <v>1</v>
      </c>
      <c r="AF121" s="1">
        <v>572</v>
      </c>
      <c r="AH121" s="1">
        <v>0</v>
      </c>
      <c r="AJ121" s="1">
        <v>8587</v>
      </c>
      <c r="AL121" s="1">
        <v>248</v>
      </c>
      <c r="AN121" s="1">
        <v>572</v>
      </c>
      <c r="AO121" s="1">
        <v>0</v>
      </c>
      <c r="AP121" s="1">
        <v>8587</v>
      </c>
      <c r="AQ121" s="1">
        <v>248</v>
      </c>
      <c r="AR121" s="1">
        <v>1450.5229999999999</v>
      </c>
      <c r="AS121" s="1">
        <v>251</v>
      </c>
      <c r="AU121" s="1">
        <v>5.7789760000000001</v>
      </c>
    </row>
    <row r="122" spans="1:48" x14ac:dyDescent="0.3">
      <c r="A122" t="s">
        <v>138</v>
      </c>
      <c r="B122">
        <v>7725.9996529999999</v>
      </c>
      <c r="C122">
        <v>3.1260000000000003E-2</v>
      </c>
      <c r="D122">
        <v>2549819</v>
      </c>
      <c r="E122">
        <v>10983112</v>
      </c>
      <c r="F122">
        <v>4.5540000000000003</v>
      </c>
      <c r="G122">
        <v>1.0629999999999999</v>
      </c>
      <c r="H122">
        <v>20003</v>
      </c>
      <c r="I122">
        <v>1</v>
      </c>
      <c r="J122">
        <v>0</v>
      </c>
      <c r="K122">
        <v>1</v>
      </c>
      <c r="L122">
        <v>20003</v>
      </c>
      <c r="M122">
        <v>7725.9996060000003</v>
      </c>
      <c r="N122">
        <v>207.188018</v>
      </c>
      <c r="O122">
        <v>1081.755404888889</v>
      </c>
      <c r="P122">
        <v>1</v>
      </c>
      <c r="Q122">
        <f>AVERAGE(P122:P148)</f>
        <v>1</v>
      </c>
      <c r="R122">
        <v>27728.999606000001</v>
      </c>
      <c r="S122">
        <v>27728.999652999999</v>
      </c>
      <c r="T122">
        <f>SUM(U122:U148)</f>
        <v>27</v>
      </c>
      <c r="U122">
        <v>1</v>
      </c>
      <c r="V122">
        <v>1</v>
      </c>
      <c r="W122">
        <v>1</v>
      </c>
      <c r="X122">
        <v>0</v>
      </c>
      <c r="Y122">
        <v>0</v>
      </c>
      <c r="Z122">
        <v>0</v>
      </c>
      <c r="AA122">
        <v>1.0629999999999999</v>
      </c>
      <c r="AB122">
        <f>AVERAGE(AA122:AA148)</f>
        <v>4.4197037037037035</v>
      </c>
      <c r="AC122">
        <v>201.53975800000001</v>
      </c>
      <c r="AD122">
        <f>AVERAGE(AC122:AC148)</f>
        <v>1054.6421749259259</v>
      </c>
      <c r="AE122">
        <v>1</v>
      </c>
      <c r="AF122">
        <v>4351</v>
      </c>
      <c r="AG122">
        <f>AVERAGE(AF122:AF148)</f>
        <v>9040.2592592592591</v>
      </c>
      <c r="AH122">
        <v>0</v>
      </c>
      <c r="AI122">
        <f>AVERAGE(AH122:AH148)</f>
        <v>0</v>
      </c>
      <c r="AJ122">
        <v>21964</v>
      </c>
      <c r="AK122">
        <f>AVERAGE(AJ122:AJ148)</f>
        <v>51927.814814814818</v>
      </c>
      <c r="AL122">
        <v>66</v>
      </c>
      <c r="AM122">
        <f>AVERAGE(AL122:AL148)</f>
        <v>164.77777777777777</v>
      </c>
      <c r="AN122">
        <v>4351</v>
      </c>
      <c r="AO122">
        <v>0</v>
      </c>
      <c r="AP122">
        <v>21964</v>
      </c>
      <c r="AQ122">
        <v>66</v>
      </c>
      <c r="AR122">
        <v>86.65</v>
      </c>
      <c r="AS122">
        <v>67</v>
      </c>
      <c r="AT122">
        <f>AVERAGE(AS122:AS148)</f>
        <v>166.88888888888889</v>
      </c>
      <c r="AU122">
        <v>1.2932840000000001</v>
      </c>
      <c r="AV122">
        <f>AVERAGE(AU122:AU148)</f>
        <v>2.1489179629629622</v>
      </c>
    </row>
    <row r="123" spans="1:48" x14ac:dyDescent="0.3">
      <c r="A123" t="s">
        <v>139</v>
      </c>
      <c r="B123">
        <v>7730.0009010000003</v>
      </c>
      <c r="C123">
        <v>4.6225000000000002E-2</v>
      </c>
      <c r="D123">
        <v>9418414</v>
      </c>
      <c r="E123">
        <v>47098914</v>
      </c>
      <c r="F123">
        <v>22.975000000000001</v>
      </c>
      <c r="G123">
        <v>4.9340000000000002</v>
      </c>
      <c r="H123">
        <v>20003</v>
      </c>
      <c r="I123">
        <v>1</v>
      </c>
      <c r="J123">
        <v>0</v>
      </c>
      <c r="K123">
        <v>1</v>
      </c>
      <c r="L123">
        <v>20003</v>
      </c>
      <c r="M123">
        <v>7730.0006020000001</v>
      </c>
      <c r="N123">
        <v>66.602010000000007</v>
      </c>
      <c r="P123">
        <v>1</v>
      </c>
      <c r="R123">
        <v>27733.000602</v>
      </c>
      <c r="S123">
        <v>27733.000900999999</v>
      </c>
      <c r="U123">
        <v>1</v>
      </c>
      <c r="V123">
        <v>1</v>
      </c>
      <c r="W123">
        <v>1</v>
      </c>
      <c r="X123">
        <v>0</v>
      </c>
      <c r="Y123">
        <v>0</v>
      </c>
      <c r="Z123">
        <v>0</v>
      </c>
      <c r="AA123">
        <v>4.9340000000000002</v>
      </c>
      <c r="AC123">
        <v>38.646785000000001</v>
      </c>
      <c r="AE123">
        <v>1</v>
      </c>
      <c r="AF123">
        <v>65</v>
      </c>
      <c r="AH123">
        <v>0</v>
      </c>
      <c r="AJ123">
        <v>7234</v>
      </c>
      <c r="AL123">
        <v>0</v>
      </c>
      <c r="AN123">
        <v>65</v>
      </c>
      <c r="AO123">
        <v>0</v>
      </c>
      <c r="AP123">
        <v>7234</v>
      </c>
      <c r="AQ123">
        <v>0</v>
      </c>
      <c r="AR123">
        <v>1.087</v>
      </c>
      <c r="AS123">
        <v>1</v>
      </c>
      <c r="AU123">
        <v>1.087</v>
      </c>
    </row>
    <row r="124" spans="1:48" x14ac:dyDescent="0.3">
      <c r="A124" t="s">
        <v>140</v>
      </c>
      <c r="B124">
        <v>7725.9994509999997</v>
      </c>
      <c r="C124">
        <v>5.2276999999999997E-2</v>
      </c>
      <c r="D124">
        <v>3148358</v>
      </c>
      <c r="E124">
        <v>13830062</v>
      </c>
      <c r="F124">
        <v>5.8390000000000004</v>
      </c>
      <c r="G124">
        <v>1.341</v>
      </c>
      <c r="H124">
        <v>30003</v>
      </c>
      <c r="I124">
        <v>1</v>
      </c>
      <c r="J124">
        <v>0</v>
      </c>
      <c r="K124">
        <v>1</v>
      </c>
      <c r="L124">
        <v>30003</v>
      </c>
      <c r="M124">
        <v>7725.999315</v>
      </c>
      <c r="N124">
        <v>353.20091300000001</v>
      </c>
      <c r="P124">
        <v>1</v>
      </c>
      <c r="R124">
        <v>37728.999315000001</v>
      </c>
      <c r="S124">
        <v>37728.999451000003</v>
      </c>
      <c r="U124">
        <v>1</v>
      </c>
      <c r="V124">
        <v>1</v>
      </c>
      <c r="W124">
        <v>1</v>
      </c>
      <c r="X124">
        <v>0</v>
      </c>
      <c r="Y124">
        <v>0</v>
      </c>
      <c r="Z124">
        <v>0</v>
      </c>
      <c r="AA124">
        <v>1.341</v>
      </c>
      <c r="AC124">
        <v>345.968636</v>
      </c>
      <c r="AE124">
        <v>1</v>
      </c>
      <c r="AF124">
        <v>2698</v>
      </c>
      <c r="AH124">
        <v>0</v>
      </c>
      <c r="AJ124">
        <v>13647</v>
      </c>
      <c r="AL124">
        <v>96</v>
      </c>
      <c r="AN124">
        <v>2698</v>
      </c>
      <c r="AO124">
        <v>0</v>
      </c>
      <c r="AP124">
        <v>13647</v>
      </c>
      <c r="AQ124">
        <v>96</v>
      </c>
      <c r="AR124">
        <v>188.69399999999999</v>
      </c>
      <c r="AS124">
        <v>97</v>
      </c>
      <c r="AU124">
        <v>1.9452989999999999</v>
      </c>
    </row>
    <row r="125" spans="1:48" x14ac:dyDescent="0.3">
      <c r="A125" t="s">
        <v>141</v>
      </c>
      <c r="B125">
        <v>7709.9989800000003</v>
      </c>
      <c r="C125">
        <v>4.2294999999999999E-2</v>
      </c>
      <c r="D125">
        <v>10869503</v>
      </c>
      <c r="E125">
        <v>55392140</v>
      </c>
      <c r="F125">
        <v>26.556000000000001</v>
      </c>
      <c r="G125">
        <v>5.5860000000000003</v>
      </c>
      <c r="H125">
        <v>30003</v>
      </c>
      <c r="I125">
        <v>1</v>
      </c>
      <c r="J125">
        <v>0</v>
      </c>
      <c r="K125">
        <v>1</v>
      </c>
      <c r="L125">
        <v>30003</v>
      </c>
      <c r="M125">
        <v>7709.9989800000003</v>
      </c>
      <c r="N125">
        <v>104.18931900000001</v>
      </c>
      <c r="P125">
        <v>1</v>
      </c>
      <c r="R125">
        <v>37712.998979999997</v>
      </c>
      <c r="S125">
        <v>37712.998979999997</v>
      </c>
      <c r="U125">
        <v>1</v>
      </c>
      <c r="V125">
        <v>1</v>
      </c>
      <c r="W125">
        <v>1</v>
      </c>
      <c r="X125">
        <v>0</v>
      </c>
      <c r="Y125">
        <v>0</v>
      </c>
      <c r="Z125">
        <v>0</v>
      </c>
      <c r="AA125">
        <v>5.5860000000000003</v>
      </c>
      <c r="AC125">
        <v>72.005024000000006</v>
      </c>
      <c r="AE125">
        <v>1</v>
      </c>
      <c r="AF125">
        <v>60</v>
      </c>
      <c r="AH125">
        <v>0</v>
      </c>
      <c r="AJ125">
        <v>1456</v>
      </c>
      <c r="AL125">
        <v>18</v>
      </c>
      <c r="AN125">
        <v>60</v>
      </c>
      <c r="AO125">
        <v>0</v>
      </c>
      <c r="AP125">
        <v>1456</v>
      </c>
      <c r="AQ125">
        <v>18</v>
      </c>
      <c r="AR125">
        <v>43.529000000000003</v>
      </c>
      <c r="AS125">
        <v>19</v>
      </c>
      <c r="AU125">
        <v>2.2909999999999999</v>
      </c>
    </row>
    <row r="126" spans="1:48" x14ac:dyDescent="0.3">
      <c r="A126" t="s">
        <v>142</v>
      </c>
      <c r="B126">
        <v>7647.99856</v>
      </c>
      <c r="C126">
        <v>3.1505999999999999E-2</v>
      </c>
      <c r="D126">
        <v>13533568</v>
      </c>
      <c r="E126">
        <v>69685978</v>
      </c>
      <c r="F126">
        <v>34.548000000000002</v>
      </c>
      <c r="G126">
        <v>6.9089999999999998</v>
      </c>
      <c r="H126">
        <v>30002</v>
      </c>
      <c r="I126">
        <v>1</v>
      </c>
      <c r="J126">
        <v>0</v>
      </c>
      <c r="K126">
        <v>1</v>
      </c>
      <c r="L126">
        <v>30002</v>
      </c>
      <c r="M126">
        <v>7647.9993750000003</v>
      </c>
      <c r="N126">
        <v>295.93087600000001</v>
      </c>
      <c r="P126">
        <v>1</v>
      </c>
      <c r="R126">
        <v>37649.999374999999</v>
      </c>
      <c r="S126">
        <v>37649.99856</v>
      </c>
      <c r="U126">
        <v>1</v>
      </c>
      <c r="V126">
        <v>1</v>
      </c>
      <c r="W126">
        <v>1</v>
      </c>
      <c r="X126">
        <v>0</v>
      </c>
      <c r="Y126">
        <v>0</v>
      </c>
      <c r="Z126">
        <v>0</v>
      </c>
      <c r="AA126">
        <v>6.9089999999999998</v>
      </c>
      <c r="AC126">
        <v>254.44237000000001</v>
      </c>
      <c r="AE126">
        <v>1</v>
      </c>
      <c r="AF126">
        <v>13134</v>
      </c>
      <c r="AH126">
        <v>0</v>
      </c>
      <c r="AJ126">
        <v>15711</v>
      </c>
      <c r="AL126">
        <v>15</v>
      </c>
      <c r="AN126">
        <v>13134</v>
      </c>
      <c r="AO126">
        <v>0</v>
      </c>
      <c r="AP126">
        <v>15711</v>
      </c>
      <c r="AQ126">
        <v>15</v>
      </c>
      <c r="AR126">
        <v>23.709</v>
      </c>
      <c r="AS126">
        <v>16</v>
      </c>
      <c r="AU126">
        <v>1.4818119999999999</v>
      </c>
    </row>
    <row r="127" spans="1:48" x14ac:dyDescent="0.3">
      <c r="A127" t="s">
        <v>143</v>
      </c>
      <c r="B127">
        <v>7758.0003379999998</v>
      </c>
      <c r="C127">
        <v>3.9261999999999998E-2</v>
      </c>
      <c r="D127">
        <v>2822030</v>
      </c>
      <c r="E127">
        <v>12293646</v>
      </c>
      <c r="F127">
        <v>5.08</v>
      </c>
      <c r="G127">
        <v>1.1000000000000001</v>
      </c>
      <c r="H127">
        <v>30002</v>
      </c>
      <c r="I127">
        <v>1</v>
      </c>
      <c r="J127">
        <v>0</v>
      </c>
      <c r="K127">
        <v>1</v>
      </c>
      <c r="L127">
        <v>30002</v>
      </c>
      <c r="M127">
        <v>7758.0003230000002</v>
      </c>
      <c r="N127">
        <v>791.29454999999996</v>
      </c>
      <c r="P127">
        <v>1</v>
      </c>
      <c r="R127">
        <v>37760.000323</v>
      </c>
      <c r="S127">
        <v>37760.000337999998</v>
      </c>
      <c r="U127">
        <v>1</v>
      </c>
      <c r="V127">
        <v>1</v>
      </c>
      <c r="W127">
        <v>1</v>
      </c>
      <c r="X127">
        <v>0</v>
      </c>
      <c r="Y127">
        <v>0</v>
      </c>
      <c r="Z127">
        <v>0</v>
      </c>
      <c r="AA127">
        <v>1.1000000000000001</v>
      </c>
      <c r="AC127">
        <v>785.075288</v>
      </c>
      <c r="AE127">
        <v>1</v>
      </c>
      <c r="AF127">
        <v>1034</v>
      </c>
      <c r="AH127">
        <v>0</v>
      </c>
      <c r="AJ127">
        <v>47216</v>
      </c>
      <c r="AL127">
        <v>347</v>
      </c>
      <c r="AN127">
        <v>1034</v>
      </c>
      <c r="AO127">
        <v>0</v>
      </c>
      <c r="AP127">
        <v>47216</v>
      </c>
      <c r="AQ127">
        <v>347</v>
      </c>
      <c r="AR127">
        <v>504.68</v>
      </c>
      <c r="AS127">
        <v>348</v>
      </c>
      <c r="AU127">
        <v>1.4502299999999999</v>
      </c>
    </row>
    <row r="128" spans="1:48" x14ac:dyDescent="0.3">
      <c r="A128" t="s">
        <v>144</v>
      </c>
      <c r="B128">
        <v>7697.9959140000001</v>
      </c>
      <c r="C128">
        <v>4.3021999999999998E-2</v>
      </c>
      <c r="D128">
        <v>1699416</v>
      </c>
      <c r="E128">
        <v>6959132</v>
      </c>
      <c r="F128">
        <v>2.782</v>
      </c>
      <c r="G128">
        <v>0.67300000000000004</v>
      </c>
      <c r="H128">
        <v>20004</v>
      </c>
      <c r="I128">
        <v>1</v>
      </c>
      <c r="J128">
        <v>0</v>
      </c>
      <c r="K128">
        <v>1</v>
      </c>
      <c r="L128">
        <v>20004</v>
      </c>
      <c r="M128">
        <v>7698.0001309999998</v>
      </c>
      <c r="N128">
        <v>413.97454899999997</v>
      </c>
      <c r="P128">
        <v>1</v>
      </c>
      <c r="R128">
        <v>27702.000131000001</v>
      </c>
      <c r="S128">
        <v>27701.995913999999</v>
      </c>
      <c r="U128">
        <v>1</v>
      </c>
      <c r="V128">
        <v>1</v>
      </c>
      <c r="W128">
        <v>1</v>
      </c>
      <c r="X128">
        <v>0</v>
      </c>
      <c r="Y128">
        <v>0</v>
      </c>
      <c r="Z128">
        <v>0</v>
      </c>
      <c r="AA128">
        <v>0.67300000000000004</v>
      </c>
      <c r="AC128">
        <v>410.47652699999998</v>
      </c>
      <c r="AE128">
        <v>1</v>
      </c>
      <c r="AF128">
        <v>1745</v>
      </c>
      <c r="AH128">
        <v>0</v>
      </c>
      <c r="AJ128">
        <v>44531</v>
      </c>
      <c r="AL128">
        <v>23</v>
      </c>
      <c r="AN128">
        <v>1745</v>
      </c>
      <c r="AO128">
        <v>0</v>
      </c>
      <c r="AP128">
        <v>44531</v>
      </c>
      <c r="AQ128">
        <v>23</v>
      </c>
      <c r="AR128">
        <v>43.332000000000001</v>
      </c>
      <c r="AS128">
        <v>27</v>
      </c>
      <c r="AU128">
        <v>1.604889</v>
      </c>
    </row>
    <row r="129" spans="1:47" x14ac:dyDescent="0.3">
      <c r="A129" t="s">
        <v>145</v>
      </c>
      <c r="B129">
        <v>7783.9989960000003</v>
      </c>
      <c r="C129">
        <v>5.3351999999999997E-2</v>
      </c>
      <c r="D129">
        <v>6099765</v>
      </c>
      <c r="E129">
        <v>29401392</v>
      </c>
      <c r="F129">
        <v>13.420999999999999</v>
      </c>
      <c r="G129">
        <v>2.7570000000000001</v>
      </c>
      <c r="H129">
        <v>20008</v>
      </c>
      <c r="I129">
        <v>1</v>
      </c>
      <c r="J129">
        <v>0</v>
      </c>
      <c r="K129">
        <v>1</v>
      </c>
      <c r="L129">
        <v>20008</v>
      </c>
      <c r="M129">
        <v>7783.9989960000003</v>
      </c>
      <c r="N129">
        <v>644.99078700000007</v>
      </c>
      <c r="P129">
        <v>1</v>
      </c>
      <c r="R129">
        <v>27791.998995999998</v>
      </c>
      <c r="S129">
        <v>27791.998995999998</v>
      </c>
      <c r="U129">
        <v>1</v>
      </c>
      <c r="V129">
        <v>1</v>
      </c>
      <c r="W129">
        <v>1</v>
      </c>
      <c r="X129">
        <v>0</v>
      </c>
      <c r="Y129">
        <v>0</v>
      </c>
      <c r="Z129">
        <v>0</v>
      </c>
      <c r="AA129">
        <v>2.7570000000000001</v>
      </c>
      <c r="AC129">
        <v>628.75943500000005</v>
      </c>
      <c r="AE129">
        <v>1</v>
      </c>
      <c r="AF129">
        <v>139</v>
      </c>
      <c r="AH129">
        <v>0</v>
      </c>
      <c r="AJ129">
        <v>15419</v>
      </c>
      <c r="AL129">
        <v>413</v>
      </c>
      <c r="AN129">
        <v>139</v>
      </c>
      <c r="AO129">
        <v>0</v>
      </c>
      <c r="AP129">
        <v>15419</v>
      </c>
      <c r="AQ129">
        <v>413</v>
      </c>
      <c r="AR129">
        <v>531.35</v>
      </c>
      <c r="AS129">
        <v>414</v>
      </c>
      <c r="AU129">
        <v>1.2834540000000001</v>
      </c>
    </row>
    <row r="130" spans="1:47" x14ac:dyDescent="0.3">
      <c r="A130" t="s">
        <v>146</v>
      </c>
      <c r="B130">
        <v>7711.996717</v>
      </c>
      <c r="C130">
        <v>5.0871E-2</v>
      </c>
      <c r="D130">
        <v>2528692</v>
      </c>
      <c r="E130">
        <v>11003103</v>
      </c>
      <c r="F130">
        <v>4.5609999999999999</v>
      </c>
      <c r="G130">
        <v>1.0349999999999999</v>
      </c>
      <c r="H130">
        <v>30003</v>
      </c>
      <c r="I130">
        <v>1</v>
      </c>
      <c r="J130">
        <v>0</v>
      </c>
      <c r="K130">
        <v>1</v>
      </c>
      <c r="L130">
        <v>30003</v>
      </c>
      <c r="M130">
        <v>7711.9999589999998</v>
      </c>
      <c r="N130">
        <v>524.80186400000002</v>
      </c>
      <c r="P130">
        <v>1</v>
      </c>
      <c r="R130">
        <v>37714.999959000001</v>
      </c>
      <c r="S130">
        <v>37714.996717000002</v>
      </c>
      <c r="U130">
        <v>1</v>
      </c>
      <c r="V130">
        <v>1</v>
      </c>
      <c r="W130">
        <v>1</v>
      </c>
      <c r="X130">
        <v>0</v>
      </c>
      <c r="Y130">
        <v>0</v>
      </c>
      <c r="Z130">
        <v>0</v>
      </c>
      <c r="AA130">
        <v>1.0349999999999999</v>
      </c>
      <c r="AC130">
        <v>519.15499299999999</v>
      </c>
      <c r="AE130">
        <v>1</v>
      </c>
      <c r="AF130">
        <v>2716</v>
      </c>
      <c r="AH130">
        <v>0</v>
      </c>
      <c r="AJ130">
        <v>59901</v>
      </c>
      <c r="AL130">
        <v>7</v>
      </c>
      <c r="AN130">
        <v>2716</v>
      </c>
      <c r="AO130">
        <v>0</v>
      </c>
      <c r="AP130">
        <v>59901</v>
      </c>
      <c r="AQ130">
        <v>7</v>
      </c>
      <c r="AR130">
        <v>14.326000000000001</v>
      </c>
      <c r="AS130">
        <v>10</v>
      </c>
      <c r="AU130">
        <v>1.4326000000000001</v>
      </c>
    </row>
    <row r="131" spans="1:47" x14ac:dyDescent="0.3">
      <c r="A131" t="s">
        <v>147</v>
      </c>
      <c r="B131">
        <v>7744.0002500000001</v>
      </c>
      <c r="C131">
        <v>0.115476</v>
      </c>
      <c r="D131">
        <v>3005301</v>
      </c>
      <c r="E131">
        <v>13059227</v>
      </c>
      <c r="F131">
        <v>5.48</v>
      </c>
      <c r="G131">
        <v>1.1579999999999999</v>
      </c>
      <c r="H131">
        <v>30004</v>
      </c>
      <c r="I131">
        <v>1</v>
      </c>
      <c r="J131">
        <v>0</v>
      </c>
      <c r="K131">
        <v>1</v>
      </c>
      <c r="L131">
        <v>30004</v>
      </c>
      <c r="M131">
        <v>7744.0002489999997</v>
      </c>
      <c r="N131">
        <v>751.83508399999994</v>
      </c>
      <c r="P131">
        <v>1</v>
      </c>
      <c r="R131">
        <v>37748.000248999997</v>
      </c>
      <c r="S131">
        <v>37748.000249999997</v>
      </c>
      <c r="U131">
        <v>1</v>
      </c>
      <c r="V131">
        <v>1</v>
      </c>
      <c r="W131">
        <v>1</v>
      </c>
      <c r="X131">
        <v>0</v>
      </c>
      <c r="Y131">
        <v>0</v>
      </c>
      <c r="Z131">
        <v>0</v>
      </c>
      <c r="AA131">
        <v>1.1579999999999999</v>
      </c>
      <c r="AC131">
        <v>745.08160799999996</v>
      </c>
      <c r="AE131">
        <v>1</v>
      </c>
      <c r="AF131">
        <v>2978</v>
      </c>
      <c r="AH131">
        <v>0</v>
      </c>
      <c r="AJ131">
        <v>43049</v>
      </c>
      <c r="AL131">
        <v>203</v>
      </c>
      <c r="AN131">
        <v>2978</v>
      </c>
      <c r="AO131">
        <v>0</v>
      </c>
      <c r="AP131">
        <v>43049</v>
      </c>
      <c r="AQ131">
        <v>203</v>
      </c>
      <c r="AR131">
        <v>273.15100000000001</v>
      </c>
      <c r="AS131">
        <v>204</v>
      </c>
      <c r="AU131">
        <v>1.338975</v>
      </c>
    </row>
    <row r="132" spans="1:47" x14ac:dyDescent="0.3">
      <c r="A132" t="s">
        <v>148</v>
      </c>
      <c r="B132">
        <v>7713.998439</v>
      </c>
      <c r="C132">
        <v>0.32517400000000002</v>
      </c>
      <c r="D132">
        <v>7719271</v>
      </c>
      <c r="E132">
        <v>37538594</v>
      </c>
      <c r="F132">
        <v>133.54</v>
      </c>
      <c r="G132">
        <v>18.895</v>
      </c>
      <c r="H132">
        <v>30003</v>
      </c>
      <c r="I132">
        <v>1</v>
      </c>
      <c r="J132">
        <v>0</v>
      </c>
      <c r="K132">
        <v>1</v>
      </c>
      <c r="L132">
        <v>30003</v>
      </c>
      <c r="M132">
        <v>7713.9994989999996</v>
      </c>
      <c r="N132">
        <v>576.04542900000001</v>
      </c>
      <c r="P132">
        <v>1</v>
      </c>
      <c r="R132">
        <v>37716.999498999998</v>
      </c>
      <c r="S132">
        <v>37716.998439000003</v>
      </c>
      <c r="U132">
        <v>1</v>
      </c>
      <c r="V132">
        <v>1</v>
      </c>
      <c r="W132">
        <v>1</v>
      </c>
      <c r="X132">
        <v>0</v>
      </c>
      <c r="Y132">
        <v>0</v>
      </c>
      <c r="Z132">
        <v>0</v>
      </c>
      <c r="AA132">
        <v>18.895</v>
      </c>
      <c r="AC132">
        <v>423.28525500000001</v>
      </c>
      <c r="AE132">
        <v>1</v>
      </c>
      <c r="AF132">
        <v>2571</v>
      </c>
      <c r="AH132">
        <v>0</v>
      </c>
      <c r="AJ132">
        <v>6372</v>
      </c>
      <c r="AL132">
        <v>3</v>
      </c>
      <c r="AN132">
        <v>2571</v>
      </c>
      <c r="AO132">
        <v>0</v>
      </c>
      <c r="AP132">
        <v>6372</v>
      </c>
      <c r="AQ132">
        <v>3</v>
      </c>
      <c r="AR132">
        <v>38.256999999999998</v>
      </c>
      <c r="AS132">
        <v>4</v>
      </c>
      <c r="AU132">
        <v>9.5642499999999995</v>
      </c>
    </row>
    <row r="133" spans="1:47" x14ac:dyDescent="0.3">
      <c r="A133" t="s">
        <v>149</v>
      </c>
      <c r="B133">
        <v>7758.0003379999998</v>
      </c>
      <c r="C133">
        <v>4.5689E-2</v>
      </c>
      <c r="D133">
        <v>3267089</v>
      </c>
      <c r="E133">
        <v>14764951</v>
      </c>
      <c r="F133">
        <v>6.2850000000000001</v>
      </c>
      <c r="G133">
        <v>1.3380000000000001</v>
      </c>
      <c r="H133">
        <v>30002</v>
      </c>
      <c r="I133">
        <v>1</v>
      </c>
      <c r="J133">
        <v>0</v>
      </c>
      <c r="K133">
        <v>1</v>
      </c>
      <c r="L133">
        <v>30002</v>
      </c>
      <c r="M133">
        <v>7758.0002990000003</v>
      </c>
      <c r="N133">
        <v>638.08968900000002</v>
      </c>
      <c r="P133">
        <v>1</v>
      </c>
      <c r="R133">
        <v>37760.000298999999</v>
      </c>
      <c r="S133">
        <v>37760.000337999998</v>
      </c>
      <c r="U133">
        <v>1</v>
      </c>
      <c r="V133">
        <v>1</v>
      </c>
      <c r="W133">
        <v>1</v>
      </c>
      <c r="X133">
        <v>0</v>
      </c>
      <c r="Y133">
        <v>0</v>
      </c>
      <c r="Z133">
        <v>0</v>
      </c>
      <c r="AA133">
        <v>1.3380000000000001</v>
      </c>
      <c r="AC133">
        <v>630.42100000000005</v>
      </c>
      <c r="AE133">
        <v>1</v>
      </c>
      <c r="AF133">
        <v>15593</v>
      </c>
      <c r="AH133">
        <v>0</v>
      </c>
      <c r="AJ133">
        <v>77984</v>
      </c>
      <c r="AL133">
        <v>57</v>
      </c>
      <c r="AN133">
        <v>15593</v>
      </c>
      <c r="AO133">
        <v>0</v>
      </c>
      <c r="AP133">
        <v>77984</v>
      </c>
      <c r="AQ133">
        <v>57</v>
      </c>
      <c r="AR133">
        <v>77.613</v>
      </c>
      <c r="AS133">
        <v>58</v>
      </c>
      <c r="AU133">
        <v>1.338155</v>
      </c>
    </row>
    <row r="134" spans="1:47" x14ac:dyDescent="0.3">
      <c r="A134" t="s">
        <v>150</v>
      </c>
      <c r="B134">
        <v>7730.0009010000003</v>
      </c>
      <c r="C134">
        <v>4.7281999999999998E-2</v>
      </c>
      <c r="D134">
        <v>3145935</v>
      </c>
      <c r="E134">
        <v>13737736</v>
      </c>
      <c r="F134">
        <v>5.7939999999999996</v>
      </c>
      <c r="G134">
        <v>1.2609999999999999</v>
      </c>
      <c r="H134">
        <v>20004</v>
      </c>
      <c r="I134">
        <v>1</v>
      </c>
      <c r="J134">
        <v>0</v>
      </c>
      <c r="K134">
        <v>1</v>
      </c>
      <c r="L134">
        <v>20004</v>
      </c>
      <c r="M134">
        <v>7730.0007100000003</v>
      </c>
      <c r="N134">
        <v>459.16082299999999</v>
      </c>
      <c r="P134">
        <v>1</v>
      </c>
      <c r="R134">
        <v>27734.00071</v>
      </c>
      <c r="S134">
        <v>27734.000900999999</v>
      </c>
      <c r="U134">
        <v>1</v>
      </c>
      <c r="V134">
        <v>1</v>
      </c>
      <c r="W134">
        <v>1</v>
      </c>
      <c r="X134">
        <v>0</v>
      </c>
      <c r="Y134">
        <v>0</v>
      </c>
      <c r="Z134">
        <v>0</v>
      </c>
      <c r="AA134">
        <v>1.2609999999999999</v>
      </c>
      <c r="AC134">
        <v>452.05854099999999</v>
      </c>
      <c r="AE134">
        <v>1</v>
      </c>
      <c r="AF134">
        <v>1562</v>
      </c>
      <c r="AH134">
        <v>0</v>
      </c>
      <c r="AJ134">
        <v>50117</v>
      </c>
      <c r="AL134">
        <v>23</v>
      </c>
      <c r="AN134">
        <v>1562</v>
      </c>
      <c r="AO134">
        <v>0</v>
      </c>
      <c r="AP134">
        <v>50117</v>
      </c>
      <c r="AQ134">
        <v>23</v>
      </c>
      <c r="AR134">
        <v>35.996000000000002</v>
      </c>
      <c r="AS134">
        <v>24</v>
      </c>
      <c r="AU134">
        <v>1.499833</v>
      </c>
    </row>
    <row r="135" spans="1:47" x14ac:dyDescent="0.3">
      <c r="A135" t="s">
        <v>151</v>
      </c>
      <c r="B135">
        <v>7783.9998189999997</v>
      </c>
      <c r="C135">
        <v>5.0839000000000002E-2</v>
      </c>
      <c r="D135">
        <v>11563948</v>
      </c>
      <c r="E135">
        <v>58608070</v>
      </c>
      <c r="F135">
        <v>28.637</v>
      </c>
      <c r="G135">
        <v>5.8029999999999999</v>
      </c>
      <c r="H135">
        <v>30004</v>
      </c>
      <c r="I135">
        <v>1</v>
      </c>
      <c r="J135">
        <v>0</v>
      </c>
      <c r="K135">
        <v>1</v>
      </c>
      <c r="L135">
        <v>30004</v>
      </c>
      <c r="M135">
        <v>7783.9998189999997</v>
      </c>
      <c r="N135">
        <v>624.72949500000004</v>
      </c>
      <c r="P135">
        <v>1</v>
      </c>
      <c r="R135">
        <v>37787.999818999997</v>
      </c>
      <c r="S135">
        <v>37787.999818999997</v>
      </c>
      <c r="U135">
        <v>1</v>
      </c>
      <c r="V135">
        <v>1</v>
      </c>
      <c r="W135">
        <v>1</v>
      </c>
      <c r="X135">
        <v>0</v>
      </c>
      <c r="Y135">
        <v>0</v>
      </c>
      <c r="Z135">
        <v>0</v>
      </c>
      <c r="AA135">
        <v>5.8029999999999999</v>
      </c>
      <c r="AC135">
        <v>590.23865599999999</v>
      </c>
      <c r="AE135">
        <v>1</v>
      </c>
      <c r="AF135">
        <v>4694</v>
      </c>
      <c r="AH135">
        <v>0</v>
      </c>
      <c r="AJ135">
        <v>40877</v>
      </c>
      <c r="AL135">
        <v>170</v>
      </c>
      <c r="AN135">
        <v>4694</v>
      </c>
      <c r="AO135">
        <v>0</v>
      </c>
      <c r="AP135">
        <v>40877</v>
      </c>
      <c r="AQ135">
        <v>170</v>
      </c>
      <c r="AR135">
        <v>253.52099999999999</v>
      </c>
      <c r="AS135">
        <v>171</v>
      </c>
      <c r="AU135">
        <v>1.4825790000000001</v>
      </c>
    </row>
    <row r="136" spans="1:47" x14ac:dyDescent="0.3">
      <c r="A136" t="s">
        <v>152</v>
      </c>
      <c r="B136">
        <v>8201.9986509999999</v>
      </c>
      <c r="C136">
        <v>4.2472999999999997E-2</v>
      </c>
      <c r="D136">
        <v>7522191</v>
      </c>
      <c r="E136">
        <v>36481834</v>
      </c>
      <c r="F136">
        <v>16.919</v>
      </c>
      <c r="G136">
        <v>3.4870000000000001</v>
      </c>
      <c r="H136">
        <v>20005</v>
      </c>
      <c r="I136">
        <v>1</v>
      </c>
      <c r="J136">
        <v>0</v>
      </c>
      <c r="K136">
        <v>1</v>
      </c>
      <c r="L136">
        <v>20005</v>
      </c>
      <c r="M136">
        <v>8201.9986499999995</v>
      </c>
      <c r="N136">
        <v>1439.217492</v>
      </c>
      <c r="P136">
        <v>1</v>
      </c>
      <c r="R136">
        <v>28206.998650000001</v>
      </c>
      <c r="S136">
        <v>28206.998651000002</v>
      </c>
      <c r="U136">
        <v>1</v>
      </c>
      <c r="V136">
        <v>1</v>
      </c>
      <c r="W136">
        <v>1</v>
      </c>
      <c r="X136">
        <v>0</v>
      </c>
      <c r="Y136">
        <v>0</v>
      </c>
      <c r="Z136">
        <v>0</v>
      </c>
      <c r="AA136">
        <v>3.4870000000000001</v>
      </c>
      <c r="AC136">
        <v>1418.7690190000001</v>
      </c>
      <c r="AE136">
        <v>1</v>
      </c>
      <c r="AF136">
        <v>14307</v>
      </c>
      <c r="AH136">
        <v>0</v>
      </c>
      <c r="AJ136">
        <v>114864</v>
      </c>
      <c r="AL136">
        <v>15</v>
      </c>
      <c r="AN136">
        <v>14307</v>
      </c>
      <c r="AO136">
        <v>0</v>
      </c>
      <c r="AP136">
        <v>114864</v>
      </c>
      <c r="AQ136">
        <v>15</v>
      </c>
      <c r="AR136">
        <v>27.800999999999998</v>
      </c>
      <c r="AS136">
        <v>19</v>
      </c>
      <c r="AU136">
        <v>1.463211</v>
      </c>
    </row>
    <row r="137" spans="1:47" x14ac:dyDescent="0.3">
      <c r="A137" t="s">
        <v>153</v>
      </c>
      <c r="B137">
        <v>7616.0003420000003</v>
      </c>
      <c r="C137">
        <v>3.8358000000000003E-2</v>
      </c>
      <c r="D137">
        <v>13552301</v>
      </c>
      <c r="E137">
        <v>69046096</v>
      </c>
      <c r="F137">
        <v>34.323</v>
      </c>
      <c r="G137">
        <v>7.1740000000000004</v>
      </c>
      <c r="H137">
        <v>30003</v>
      </c>
      <c r="I137">
        <v>1</v>
      </c>
      <c r="J137">
        <v>0</v>
      </c>
      <c r="K137">
        <v>1</v>
      </c>
      <c r="L137">
        <v>30003</v>
      </c>
      <c r="M137">
        <v>7616.0002189999996</v>
      </c>
      <c r="N137">
        <v>1181.3822790000002</v>
      </c>
      <c r="P137">
        <v>1</v>
      </c>
      <c r="R137">
        <v>37619.000219000001</v>
      </c>
      <c r="S137">
        <v>37619.000341999999</v>
      </c>
      <c r="U137">
        <v>1</v>
      </c>
      <c r="V137">
        <v>1</v>
      </c>
      <c r="W137">
        <v>1</v>
      </c>
      <c r="X137">
        <v>0</v>
      </c>
      <c r="Y137">
        <v>0</v>
      </c>
      <c r="Z137">
        <v>0</v>
      </c>
      <c r="AA137">
        <v>7.1740000000000004</v>
      </c>
      <c r="AC137">
        <v>1139.8469210000001</v>
      </c>
      <c r="AE137">
        <v>1</v>
      </c>
      <c r="AF137">
        <v>39594</v>
      </c>
      <c r="AH137">
        <v>0</v>
      </c>
      <c r="AJ137">
        <v>52095</v>
      </c>
      <c r="AL137">
        <v>88</v>
      </c>
      <c r="AN137">
        <v>39594</v>
      </c>
      <c r="AO137">
        <v>0</v>
      </c>
      <c r="AP137">
        <v>52095</v>
      </c>
      <c r="AQ137">
        <v>88</v>
      </c>
      <c r="AR137">
        <v>128.583</v>
      </c>
      <c r="AS137">
        <v>89</v>
      </c>
      <c r="AU137">
        <v>1.444753</v>
      </c>
    </row>
    <row r="138" spans="1:47" x14ac:dyDescent="0.3">
      <c r="A138" t="s">
        <v>154</v>
      </c>
      <c r="B138">
        <v>8215.9998599999999</v>
      </c>
      <c r="C138">
        <v>4.6944E-2</v>
      </c>
      <c r="D138">
        <v>22186893</v>
      </c>
      <c r="E138">
        <v>116568640</v>
      </c>
      <c r="F138">
        <v>60.755000000000003</v>
      </c>
      <c r="G138">
        <v>11.741</v>
      </c>
      <c r="H138">
        <v>30002</v>
      </c>
      <c r="I138">
        <v>1</v>
      </c>
      <c r="J138">
        <v>0</v>
      </c>
      <c r="K138">
        <v>1</v>
      </c>
      <c r="L138">
        <v>30002</v>
      </c>
      <c r="M138">
        <v>8215.9997829999993</v>
      </c>
      <c r="N138">
        <v>1960.466999</v>
      </c>
      <c r="P138">
        <v>1</v>
      </c>
      <c r="R138">
        <v>38217.999782999999</v>
      </c>
      <c r="S138">
        <v>38217.999860000004</v>
      </c>
      <c r="U138">
        <v>1</v>
      </c>
      <c r="V138">
        <v>1</v>
      </c>
      <c r="W138">
        <v>1</v>
      </c>
      <c r="X138">
        <v>0</v>
      </c>
      <c r="Y138">
        <v>0</v>
      </c>
      <c r="Z138">
        <v>0</v>
      </c>
      <c r="AA138">
        <v>11.741</v>
      </c>
      <c r="AC138">
        <v>1887.924055</v>
      </c>
      <c r="AE138">
        <v>1</v>
      </c>
      <c r="AF138">
        <v>3743</v>
      </c>
      <c r="AH138">
        <v>0</v>
      </c>
      <c r="AJ138">
        <v>63866</v>
      </c>
      <c r="AL138">
        <v>1107</v>
      </c>
      <c r="AN138">
        <v>3743</v>
      </c>
      <c r="AO138">
        <v>0</v>
      </c>
      <c r="AP138">
        <v>63866</v>
      </c>
      <c r="AQ138">
        <v>1107</v>
      </c>
      <c r="AR138">
        <v>1454.954</v>
      </c>
      <c r="AS138">
        <v>1110</v>
      </c>
      <c r="AU138">
        <v>1.3107690000000001</v>
      </c>
    </row>
    <row r="139" spans="1:47" x14ac:dyDescent="0.3">
      <c r="A139" t="s">
        <v>155</v>
      </c>
      <c r="B139">
        <v>7872.0010519999996</v>
      </c>
      <c r="C139">
        <v>4.3191E-2</v>
      </c>
      <c r="D139">
        <v>4776248</v>
      </c>
      <c r="E139">
        <v>21271594</v>
      </c>
      <c r="F139">
        <v>9.7029999999999994</v>
      </c>
      <c r="G139">
        <v>2.137</v>
      </c>
      <c r="H139">
        <v>20002</v>
      </c>
      <c r="I139">
        <v>1</v>
      </c>
      <c r="J139">
        <v>0</v>
      </c>
      <c r="K139">
        <v>1</v>
      </c>
      <c r="L139">
        <v>20002</v>
      </c>
      <c r="M139">
        <v>7872.000669</v>
      </c>
      <c r="N139">
        <v>1470.4858859999999</v>
      </c>
      <c r="P139">
        <v>1</v>
      </c>
      <c r="R139">
        <v>27874.000669000001</v>
      </c>
      <c r="S139">
        <v>27874.001052</v>
      </c>
      <c r="U139">
        <v>1</v>
      </c>
      <c r="V139">
        <v>1</v>
      </c>
      <c r="W139">
        <v>1</v>
      </c>
      <c r="X139">
        <v>0</v>
      </c>
      <c r="Y139">
        <v>0</v>
      </c>
      <c r="Z139">
        <v>0</v>
      </c>
      <c r="AA139">
        <v>2.137</v>
      </c>
      <c r="AC139">
        <v>1458.602695</v>
      </c>
      <c r="AE139">
        <v>1</v>
      </c>
      <c r="AF139">
        <v>7288</v>
      </c>
      <c r="AH139">
        <v>0</v>
      </c>
      <c r="AJ139">
        <v>65941</v>
      </c>
      <c r="AL139">
        <v>583</v>
      </c>
      <c r="AN139">
        <v>7288</v>
      </c>
      <c r="AO139">
        <v>0</v>
      </c>
      <c r="AP139">
        <v>65941</v>
      </c>
      <c r="AQ139">
        <v>583</v>
      </c>
      <c r="AR139">
        <v>846.12900000000002</v>
      </c>
      <c r="AS139">
        <v>584</v>
      </c>
      <c r="AU139">
        <v>1.4488510000000001</v>
      </c>
    </row>
    <row r="140" spans="1:47" x14ac:dyDescent="0.3">
      <c r="A140" t="s">
        <v>156</v>
      </c>
      <c r="B140">
        <v>7746.0001169999996</v>
      </c>
      <c r="C140">
        <v>5.4614999999999997E-2</v>
      </c>
      <c r="D140">
        <v>14498155</v>
      </c>
      <c r="E140">
        <v>74606726</v>
      </c>
      <c r="F140">
        <v>36.912999999999997</v>
      </c>
      <c r="G140">
        <v>7.452</v>
      </c>
      <c r="H140">
        <v>20003</v>
      </c>
      <c r="I140">
        <v>1</v>
      </c>
      <c r="J140">
        <v>0</v>
      </c>
      <c r="K140">
        <v>1</v>
      </c>
      <c r="L140">
        <v>20003</v>
      </c>
      <c r="M140">
        <v>7746.0000220000002</v>
      </c>
      <c r="N140">
        <v>2811.5899649999997</v>
      </c>
      <c r="P140">
        <v>1</v>
      </c>
      <c r="R140">
        <v>27749.000022</v>
      </c>
      <c r="S140">
        <v>27749.000117</v>
      </c>
      <c r="U140">
        <v>1</v>
      </c>
      <c r="V140">
        <v>1</v>
      </c>
      <c r="W140">
        <v>1</v>
      </c>
      <c r="X140">
        <v>0</v>
      </c>
      <c r="Y140">
        <v>0</v>
      </c>
      <c r="Z140">
        <v>0</v>
      </c>
      <c r="AA140">
        <v>7.452</v>
      </c>
      <c r="AC140">
        <v>2767.1703499999999</v>
      </c>
      <c r="AE140">
        <v>1</v>
      </c>
      <c r="AF140">
        <v>13877</v>
      </c>
      <c r="AH140">
        <v>0</v>
      </c>
      <c r="AJ140">
        <v>120229</v>
      </c>
      <c r="AL140">
        <v>4</v>
      </c>
      <c r="AN140">
        <v>13877</v>
      </c>
      <c r="AO140">
        <v>0</v>
      </c>
      <c r="AP140">
        <v>120229</v>
      </c>
      <c r="AQ140">
        <v>4</v>
      </c>
      <c r="AR140">
        <v>18.896000000000001</v>
      </c>
      <c r="AS140">
        <v>15</v>
      </c>
      <c r="AU140">
        <v>1.259733</v>
      </c>
    </row>
    <row r="141" spans="1:47" x14ac:dyDescent="0.3">
      <c r="A141" t="s">
        <v>157</v>
      </c>
      <c r="B141">
        <v>7450.0004769999996</v>
      </c>
      <c r="C141">
        <v>5.0581000000000001E-2</v>
      </c>
      <c r="D141">
        <v>15469317</v>
      </c>
      <c r="E141">
        <v>79529372</v>
      </c>
      <c r="F141">
        <v>39.954999999999998</v>
      </c>
      <c r="G141">
        <v>7.6749999999999998</v>
      </c>
      <c r="H141">
        <v>30003</v>
      </c>
      <c r="I141">
        <v>1</v>
      </c>
      <c r="J141">
        <v>0</v>
      </c>
      <c r="K141">
        <v>1</v>
      </c>
      <c r="L141">
        <v>30003</v>
      </c>
      <c r="M141">
        <v>7449.9997590000003</v>
      </c>
      <c r="N141">
        <v>2669.0090810000002</v>
      </c>
      <c r="P141">
        <v>1</v>
      </c>
      <c r="R141">
        <v>37452.999758999998</v>
      </c>
      <c r="S141">
        <v>37453.000477000001</v>
      </c>
      <c r="U141">
        <v>1</v>
      </c>
      <c r="V141">
        <v>1</v>
      </c>
      <c r="W141">
        <v>1</v>
      </c>
      <c r="X141">
        <v>0</v>
      </c>
      <c r="Y141">
        <v>0</v>
      </c>
      <c r="Z141">
        <v>0</v>
      </c>
      <c r="AA141">
        <v>7.6749999999999998</v>
      </c>
      <c r="AC141">
        <v>2621.3285000000001</v>
      </c>
      <c r="AE141">
        <v>1</v>
      </c>
      <c r="AF141">
        <v>6660</v>
      </c>
      <c r="AH141">
        <v>0</v>
      </c>
      <c r="AJ141">
        <v>120856</v>
      </c>
      <c r="AL141">
        <v>161</v>
      </c>
      <c r="AN141">
        <v>6660</v>
      </c>
      <c r="AO141">
        <v>0</v>
      </c>
      <c r="AP141">
        <v>120856</v>
      </c>
      <c r="AQ141">
        <v>161</v>
      </c>
      <c r="AR141">
        <v>256.31799999999998</v>
      </c>
      <c r="AS141">
        <v>162</v>
      </c>
      <c r="AU141">
        <v>1.5822099999999999</v>
      </c>
    </row>
    <row r="142" spans="1:47" x14ac:dyDescent="0.3">
      <c r="A142" t="s">
        <v>158</v>
      </c>
      <c r="B142">
        <v>7737.9989150000001</v>
      </c>
      <c r="C142">
        <v>0.228795</v>
      </c>
      <c r="D142">
        <v>1859669</v>
      </c>
      <c r="E142">
        <v>7918314</v>
      </c>
      <c r="F142">
        <v>24.367000000000001</v>
      </c>
      <c r="G142">
        <v>3.9630000000000001</v>
      </c>
      <c r="H142">
        <v>20003</v>
      </c>
      <c r="I142">
        <v>1</v>
      </c>
      <c r="J142">
        <v>0</v>
      </c>
      <c r="K142">
        <v>1</v>
      </c>
      <c r="L142">
        <v>20003</v>
      </c>
      <c r="M142">
        <v>7737.9990079999998</v>
      </c>
      <c r="N142">
        <v>1733.8416569999999</v>
      </c>
      <c r="P142">
        <v>1</v>
      </c>
      <c r="R142">
        <v>27740.999007999999</v>
      </c>
      <c r="S142">
        <v>27740.998915</v>
      </c>
      <c r="U142">
        <v>1</v>
      </c>
      <c r="V142">
        <v>1</v>
      </c>
      <c r="W142">
        <v>1</v>
      </c>
      <c r="X142">
        <v>0</v>
      </c>
      <c r="Y142">
        <v>0</v>
      </c>
      <c r="Z142">
        <v>0</v>
      </c>
      <c r="AA142">
        <v>3.9630000000000001</v>
      </c>
      <c r="AC142">
        <v>1705.282862</v>
      </c>
      <c r="AE142">
        <v>1</v>
      </c>
      <c r="AF142">
        <v>5596</v>
      </c>
      <c r="AH142">
        <v>0</v>
      </c>
      <c r="AJ142">
        <v>45244</v>
      </c>
      <c r="AL142">
        <v>7</v>
      </c>
      <c r="AN142">
        <v>5596</v>
      </c>
      <c r="AO142">
        <v>0</v>
      </c>
      <c r="AP142">
        <v>45244</v>
      </c>
      <c r="AQ142">
        <v>7</v>
      </c>
      <c r="AR142">
        <v>87.087999999999994</v>
      </c>
      <c r="AS142">
        <v>8</v>
      </c>
      <c r="AU142">
        <v>10.885999999999999</v>
      </c>
    </row>
    <row r="143" spans="1:47" x14ac:dyDescent="0.3">
      <c r="A143" t="s">
        <v>159</v>
      </c>
      <c r="B143">
        <v>7647.99856</v>
      </c>
      <c r="C143">
        <v>3.2313000000000001E-2</v>
      </c>
      <c r="D143">
        <v>1489501</v>
      </c>
      <c r="E143">
        <v>6047067</v>
      </c>
      <c r="F143">
        <v>2.3250000000000002</v>
      </c>
      <c r="G143">
        <v>0.53900000000000003</v>
      </c>
      <c r="H143">
        <v>30002</v>
      </c>
      <c r="I143">
        <v>1</v>
      </c>
      <c r="J143">
        <v>0</v>
      </c>
      <c r="K143">
        <v>1</v>
      </c>
      <c r="L143">
        <v>30002</v>
      </c>
      <c r="M143">
        <v>7647.9992940000002</v>
      </c>
      <c r="N143">
        <v>811.83336799999995</v>
      </c>
      <c r="P143">
        <v>1</v>
      </c>
      <c r="R143">
        <v>37649.999294000001</v>
      </c>
      <c r="S143">
        <v>37649.99856</v>
      </c>
      <c r="U143">
        <v>1</v>
      </c>
      <c r="V143">
        <v>1</v>
      </c>
      <c r="W143">
        <v>1</v>
      </c>
      <c r="X143">
        <v>0</v>
      </c>
      <c r="Y143">
        <v>0</v>
      </c>
      <c r="Z143">
        <v>0</v>
      </c>
      <c r="AA143">
        <v>0.53900000000000003</v>
      </c>
      <c r="AC143">
        <v>808.93705499999999</v>
      </c>
      <c r="AE143">
        <v>1</v>
      </c>
      <c r="AF143">
        <v>15569</v>
      </c>
      <c r="AH143">
        <v>0</v>
      </c>
      <c r="AJ143">
        <v>16106</v>
      </c>
      <c r="AL143">
        <v>166</v>
      </c>
      <c r="AN143">
        <v>15569</v>
      </c>
      <c r="AO143">
        <v>0</v>
      </c>
      <c r="AP143">
        <v>16106</v>
      </c>
      <c r="AQ143">
        <v>166</v>
      </c>
      <c r="AR143">
        <v>284.30500000000001</v>
      </c>
      <c r="AS143">
        <v>167</v>
      </c>
      <c r="AU143">
        <v>1.7024250000000001</v>
      </c>
    </row>
    <row r="144" spans="1:47" x14ac:dyDescent="0.3">
      <c r="A144" t="s">
        <v>160</v>
      </c>
      <c r="B144">
        <v>8050.0001609999999</v>
      </c>
      <c r="C144">
        <v>4.7874E-2</v>
      </c>
      <c r="D144">
        <v>9615758</v>
      </c>
      <c r="E144">
        <v>47220942</v>
      </c>
      <c r="F144">
        <v>22.451000000000001</v>
      </c>
      <c r="G144">
        <v>8.14</v>
      </c>
      <c r="H144">
        <v>20003</v>
      </c>
      <c r="I144">
        <v>1</v>
      </c>
      <c r="J144">
        <v>0</v>
      </c>
      <c r="K144">
        <v>1</v>
      </c>
      <c r="L144">
        <v>20003</v>
      </c>
      <c r="M144">
        <v>8050.000591</v>
      </c>
      <c r="N144">
        <v>684.156565</v>
      </c>
      <c r="P144">
        <v>1</v>
      </c>
      <c r="R144">
        <v>28053.000591</v>
      </c>
      <c r="S144">
        <v>28053.000161</v>
      </c>
      <c r="U144">
        <v>1</v>
      </c>
      <c r="V144">
        <v>1</v>
      </c>
      <c r="W144">
        <v>1</v>
      </c>
      <c r="X144">
        <v>0</v>
      </c>
      <c r="Y144">
        <v>0</v>
      </c>
      <c r="Z144">
        <v>0</v>
      </c>
      <c r="AA144">
        <v>8.14</v>
      </c>
      <c r="AC144">
        <v>653.51769100000001</v>
      </c>
      <c r="AE144">
        <v>1</v>
      </c>
      <c r="AF144">
        <v>9265</v>
      </c>
      <c r="AH144">
        <v>0</v>
      </c>
      <c r="AJ144">
        <v>46627</v>
      </c>
      <c r="AL144">
        <v>9</v>
      </c>
      <c r="AN144">
        <v>9265</v>
      </c>
      <c r="AO144">
        <v>0</v>
      </c>
      <c r="AP144">
        <v>46627</v>
      </c>
      <c r="AQ144">
        <v>9</v>
      </c>
      <c r="AR144">
        <v>15.137</v>
      </c>
      <c r="AS144">
        <v>10</v>
      </c>
      <c r="AU144">
        <v>1.5137</v>
      </c>
    </row>
    <row r="145" spans="1:48" x14ac:dyDescent="0.3">
      <c r="A145" t="s">
        <v>161</v>
      </c>
      <c r="B145">
        <v>7349.9996330000004</v>
      </c>
      <c r="C145">
        <v>3.0897000000000001E-2</v>
      </c>
      <c r="D145">
        <v>5292836</v>
      </c>
      <c r="E145">
        <v>25603895</v>
      </c>
      <c r="F145">
        <v>11.24</v>
      </c>
      <c r="G145">
        <v>2.3559999999999999</v>
      </c>
      <c r="H145">
        <v>30005</v>
      </c>
      <c r="I145">
        <v>1</v>
      </c>
      <c r="J145">
        <v>0</v>
      </c>
      <c r="K145">
        <v>1</v>
      </c>
      <c r="L145">
        <v>30005</v>
      </c>
      <c r="M145">
        <v>7350.0000920000002</v>
      </c>
      <c r="N145">
        <v>2763.4938219999999</v>
      </c>
      <c r="P145">
        <v>1</v>
      </c>
      <c r="R145">
        <v>37355.000092000002</v>
      </c>
      <c r="S145">
        <v>37354.999632999999</v>
      </c>
      <c r="U145">
        <v>1</v>
      </c>
      <c r="V145">
        <v>1</v>
      </c>
      <c r="W145">
        <v>1</v>
      </c>
      <c r="X145">
        <v>0</v>
      </c>
      <c r="Y145">
        <v>0</v>
      </c>
      <c r="Z145">
        <v>0</v>
      </c>
      <c r="AA145">
        <v>2.3559999999999999</v>
      </c>
      <c r="AC145">
        <v>2749.8669249999998</v>
      </c>
      <c r="AE145">
        <v>1</v>
      </c>
      <c r="AF145">
        <v>6311</v>
      </c>
      <c r="AH145">
        <v>0</v>
      </c>
      <c r="AJ145">
        <v>97343</v>
      </c>
      <c r="AL145">
        <v>91</v>
      </c>
      <c r="AN145">
        <v>6311</v>
      </c>
      <c r="AO145">
        <v>0</v>
      </c>
      <c r="AP145">
        <v>97343</v>
      </c>
      <c r="AQ145">
        <v>91</v>
      </c>
      <c r="AR145">
        <v>150.161</v>
      </c>
      <c r="AS145">
        <v>100</v>
      </c>
      <c r="AU145">
        <v>1.5016099999999999</v>
      </c>
    </row>
    <row r="146" spans="1:48" x14ac:dyDescent="0.3">
      <c r="A146" t="s">
        <v>162</v>
      </c>
      <c r="B146">
        <v>7711.9999109999999</v>
      </c>
      <c r="C146">
        <v>3.0817000000000001E-2</v>
      </c>
      <c r="D146">
        <v>4429118</v>
      </c>
      <c r="E146">
        <v>21177854</v>
      </c>
      <c r="F146">
        <v>9.0410000000000004</v>
      </c>
      <c r="G146">
        <v>2.0179999999999998</v>
      </c>
      <c r="H146">
        <v>40003</v>
      </c>
      <c r="I146">
        <v>1</v>
      </c>
      <c r="J146">
        <v>0</v>
      </c>
      <c r="K146">
        <v>1</v>
      </c>
      <c r="L146">
        <v>40003</v>
      </c>
      <c r="M146">
        <v>7712.0005469999996</v>
      </c>
      <c r="N146">
        <v>961.60045400000001</v>
      </c>
      <c r="P146">
        <v>1</v>
      </c>
      <c r="R146">
        <v>47715.000547000003</v>
      </c>
      <c r="S146">
        <v>47714.999910999999</v>
      </c>
      <c r="U146">
        <v>1</v>
      </c>
      <c r="V146">
        <v>1</v>
      </c>
      <c r="W146">
        <v>1</v>
      </c>
      <c r="X146">
        <v>0</v>
      </c>
      <c r="Y146">
        <v>0</v>
      </c>
      <c r="Z146">
        <v>0</v>
      </c>
      <c r="AA146">
        <v>2.0179999999999998</v>
      </c>
      <c r="AC146">
        <v>950.51063699999997</v>
      </c>
      <c r="AE146">
        <v>1</v>
      </c>
      <c r="AF146">
        <v>105</v>
      </c>
      <c r="AH146">
        <v>0</v>
      </c>
      <c r="AJ146">
        <v>11362</v>
      </c>
      <c r="AL146">
        <v>483</v>
      </c>
      <c r="AN146">
        <v>105</v>
      </c>
      <c r="AO146">
        <v>0</v>
      </c>
      <c r="AP146">
        <v>11362</v>
      </c>
      <c r="AQ146">
        <v>483</v>
      </c>
      <c r="AR146">
        <v>836.49199999999996</v>
      </c>
      <c r="AS146">
        <v>484</v>
      </c>
      <c r="AU146">
        <v>1.728289</v>
      </c>
    </row>
    <row r="147" spans="1:48" x14ac:dyDescent="0.3">
      <c r="A147" t="s">
        <v>163</v>
      </c>
      <c r="B147">
        <v>7791.998646</v>
      </c>
      <c r="C147">
        <v>3.2554E-2</v>
      </c>
      <c r="D147">
        <v>15054386</v>
      </c>
      <c r="E147">
        <v>77561550</v>
      </c>
      <c r="F147">
        <v>38.442</v>
      </c>
      <c r="G147">
        <v>7.82</v>
      </c>
      <c r="H147">
        <v>30003</v>
      </c>
      <c r="I147">
        <v>1</v>
      </c>
      <c r="J147">
        <v>0</v>
      </c>
      <c r="K147">
        <v>1</v>
      </c>
      <c r="L147">
        <v>30003</v>
      </c>
      <c r="M147">
        <v>7791.9985269999997</v>
      </c>
      <c r="N147">
        <v>1228.5853650000001</v>
      </c>
      <c r="P147">
        <v>1</v>
      </c>
      <c r="R147">
        <v>37794.998527000003</v>
      </c>
      <c r="S147">
        <v>37794.998646</v>
      </c>
      <c r="U147">
        <v>1</v>
      </c>
      <c r="V147">
        <v>1</v>
      </c>
      <c r="W147">
        <v>1</v>
      </c>
      <c r="X147">
        <v>0</v>
      </c>
      <c r="Y147">
        <v>0</v>
      </c>
      <c r="Z147">
        <v>0</v>
      </c>
      <c r="AA147">
        <v>7.82</v>
      </c>
      <c r="AC147">
        <v>1182.2908110000001</v>
      </c>
      <c r="AE147">
        <v>1</v>
      </c>
      <c r="AF147">
        <v>6170</v>
      </c>
      <c r="AH147">
        <v>0</v>
      </c>
      <c r="AJ147">
        <v>92354</v>
      </c>
      <c r="AL147">
        <v>161</v>
      </c>
      <c r="AN147">
        <v>6170</v>
      </c>
      <c r="AO147">
        <v>0</v>
      </c>
      <c r="AP147">
        <v>92354</v>
      </c>
      <c r="AQ147">
        <v>161</v>
      </c>
      <c r="AR147">
        <v>271.71499999999997</v>
      </c>
      <c r="AS147">
        <v>164</v>
      </c>
      <c r="AU147">
        <v>1.6567989999999999</v>
      </c>
    </row>
    <row r="148" spans="1:48" s="1" customFormat="1" x14ac:dyDescent="0.3">
      <c r="A148" s="1" t="s">
        <v>164</v>
      </c>
      <c r="B148" s="1">
        <v>8160.0005810000002</v>
      </c>
      <c r="C148" s="1">
        <v>3.1267000000000003E-2</v>
      </c>
      <c r="D148" s="1">
        <v>2520108</v>
      </c>
      <c r="E148" s="1">
        <v>11005848</v>
      </c>
      <c r="F148" s="1">
        <v>4.5540000000000003</v>
      </c>
      <c r="G148" s="1">
        <v>0.97699999999999998</v>
      </c>
      <c r="H148" s="1">
        <v>30003</v>
      </c>
      <c r="I148" s="1">
        <v>1</v>
      </c>
      <c r="J148" s="1">
        <v>0</v>
      </c>
      <c r="K148" s="1">
        <v>1</v>
      </c>
      <c r="L148" s="1">
        <v>30003</v>
      </c>
      <c r="M148" s="1">
        <v>8160.0005810000002</v>
      </c>
      <c r="N148" s="1">
        <v>3039.6995929999998</v>
      </c>
      <c r="P148" s="1">
        <v>1</v>
      </c>
      <c r="R148" s="1">
        <v>38163.000581</v>
      </c>
      <c r="S148" s="1">
        <v>38163.000581</v>
      </c>
      <c r="U148" s="1">
        <v>1</v>
      </c>
      <c r="V148" s="1">
        <v>1</v>
      </c>
      <c r="W148" s="1">
        <v>1</v>
      </c>
      <c r="X148" s="1">
        <v>0</v>
      </c>
      <c r="Y148" s="1">
        <v>0</v>
      </c>
      <c r="Z148" s="1">
        <v>0</v>
      </c>
      <c r="AA148" s="1">
        <v>0.97699999999999998</v>
      </c>
      <c r="AC148" s="1">
        <v>3034.137326</v>
      </c>
      <c r="AE148" s="1">
        <v>1</v>
      </c>
      <c r="AF148" s="1">
        <v>62262</v>
      </c>
      <c r="AH148" s="1">
        <v>0</v>
      </c>
      <c r="AJ148" s="1">
        <v>109686</v>
      </c>
      <c r="AL148" s="1">
        <v>133</v>
      </c>
      <c r="AN148" s="1">
        <v>62262</v>
      </c>
      <c r="AO148" s="1">
        <v>0</v>
      </c>
      <c r="AP148" s="1">
        <v>109686</v>
      </c>
      <c r="AQ148" s="1">
        <v>133</v>
      </c>
      <c r="AR148" s="1">
        <v>191.49600000000001</v>
      </c>
      <c r="AS148" s="1">
        <v>134</v>
      </c>
      <c r="AU148" s="1">
        <v>1.4290750000000001</v>
      </c>
    </row>
    <row r="149" spans="1:48" x14ac:dyDescent="0.3">
      <c r="A149" t="s">
        <v>127</v>
      </c>
      <c r="B149">
        <v>9140.0006290000001</v>
      </c>
      <c r="C149">
        <v>5.1047000000000002E-2</v>
      </c>
      <c r="D149">
        <v>2279006</v>
      </c>
      <c r="E149">
        <v>9166091</v>
      </c>
      <c r="F149">
        <v>3.6880000000000002</v>
      </c>
      <c r="G149">
        <v>0.995</v>
      </c>
      <c r="H149">
        <v>120006</v>
      </c>
      <c r="I149">
        <v>0</v>
      </c>
      <c r="J149">
        <v>0</v>
      </c>
      <c r="K149">
        <v>1</v>
      </c>
      <c r="L149">
        <v>120006</v>
      </c>
      <c r="M149">
        <v>9140.0005920000003</v>
      </c>
      <c r="N149">
        <v>104.120462</v>
      </c>
      <c r="O149">
        <v>1379.4135316363636</v>
      </c>
      <c r="P149">
        <v>1</v>
      </c>
      <c r="Q149">
        <f>AVERAGE(P149:P159)</f>
        <v>1</v>
      </c>
      <c r="R149">
        <v>129146.0006</v>
      </c>
      <c r="S149">
        <v>129146.0006</v>
      </c>
      <c r="T149">
        <f>SUM(U149:U159)</f>
        <v>11</v>
      </c>
      <c r="U149">
        <v>1</v>
      </c>
      <c r="V149">
        <v>1</v>
      </c>
      <c r="W149">
        <v>1</v>
      </c>
      <c r="X149">
        <v>0</v>
      </c>
      <c r="Y149">
        <v>0</v>
      </c>
      <c r="Z149">
        <v>0</v>
      </c>
      <c r="AA149">
        <v>0.995</v>
      </c>
      <c r="AB149">
        <f>AVERAGE(AA149:AA159)</f>
        <v>6.9923636363636357</v>
      </c>
      <c r="AC149">
        <v>99.386415</v>
      </c>
      <c r="AD149">
        <f>AVERAGE(AC149:AC159)</f>
        <v>1337.6161019090907</v>
      </c>
      <c r="AE149">
        <v>1</v>
      </c>
      <c r="AF149">
        <v>2182</v>
      </c>
      <c r="AG149">
        <f>AVERAGE(AF149:AF159)</f>
        <v>9293.818181818182</v>
      </c>
      <c r="AH149">
        <v>0</v>
      </c>
      <c r="AI149">
        <f>AVERAGE(AH149:AH159)</f>
        <v>0</v>
      </c>
      <c r="AJ149">
        <v>9802</v>
      </c>
      <c r="AK149">
        <f>AVERAGE(AJ149:AJ159)</f>
        <v>67960.272727272721</v>
      </c>
      <c r="AL149">
        <v>0</v>
      </c>
      <c r="AM149">
        <f>AVERAGE(AL149:AL159)</f>
        <v>194.27272727272728</v>
      </c>
      <c r="AN149">
        <v>2182</v>
      </c>
      <c r="AO149">
        <v>0</v>
      </c>
      <c r="AP149">
        <v>9802</v>
      </c>
      <c r="AQ149">
        <v>0</v>
      </c>
      <c r="AR149">
        <v>2.048</v>
      </c>
      <c r="AS149">
        <v>1</v>
      </c>
      <c r="AT149">
        <f>AVERAGE(AS149:AS159)</f>
        <v>195.63636363636363</v>
      </c>
      <c r="AU149">
        <v>2.048</v>
      </c>
      <c r="AV149">
        <f>AVERAGE(AU149:AU159)</f>
        <v>2.647076909090909</v>
      </c>
    </row>
    <row r="150" spans="1:48" x14ac:dyDescent="0.3">
      <c r="A150" t="s">
        <v>128</v>
      </c>
      <c r="B150">
        <v>9839.9993840000006</v>
      </c>
      <c r="C150">
        <v>5.2073000000000001E-2</v>
      </c>
      <c r="D150">
        <v>3150049</v>
      </c>
      <c r="E150">
        <v>12830245</v>
      </c>
      <c r="F150">
        <v>5.2990000000000004</v>
      </c>
      <c r="G150">
        <v>1.2350000000000001</v>
      </c>
      <c r="H150">
        <v>120002</v>
      </c>
      <c r="I150">
        <v>0</v>
      </c>
      <c r="J150">
        <v>0</v>
      </c>
      <c r="K150">
        <v>1</v>
      </c>
      <c r="L150">
        <v>120002</v>
      </c>
      <c r="M150">
        <v>9839.9993149999991</v>
      </c>
      <c r="N150">
        <v>447.52864699999998</v>
      </c>
      <c r="P150">
        <v>1</v>
      </c>
      <c r="R150">
        <v>129841.9993</v>
      </c>
      <c r="S150">
        <v>129841.9994</v>
      </c>
      <c r="U150">
        <v>1</v>
      </c>
      <c r="V150">
        <v>1</v>
      </c>
      <c r="W150">
        <v>1</v>
      </c>
      <c r="X150">
        <v>0</v>
      </c>
      <c r="Y150">
        <v>0</v>
      </c>
      <c r="Z150">
        <v>0</v>
      </c>
      <c r="AA150">
        <v>1.2350000000000001</v>
      </c>
      <c r="AC150">
        <v>440.94257399999998</v>
      </c>
      <c r="AE150">
        <v>1</v>
      </c>
      <c r="AF150">
        <v>5112</v>
      </c>
      <c r="AH150">
        <v>0</v>
      </c>
      <c r="AJ150">
        <v>60769</v>
      </c>
      <c r="AL150">
        <v>2</v>
      </c>
      <c r="AN150">
        <v>5112</v>
      </c>
      <c r="AO150">
        <v>0</v>
      </c>
      <c r="AP150">
        <v>60769</v>
      </c>
      <c r="AQ150">
        <v>2</v>
      </c>
      <c r="AR150">
        <v>7.3689999999999998</v>
      </c>
      <c r="AS150">
        <v>3</v>
      </c>
      <c r="AU150">
        <v>2.4563329999999999</v>
      </c>
    </row>
    <row r="151" spans="1:48" x14ac:dyDescent="0.3">
      <c r="A151" t="s">
        <v>129</v>
      </c>
      <c r="B151">
        <v>9199.9990849999995</v>
      </c>
      <c r="C151">
        <v>5.2281000000000001E-2</v>
      </c>
      <c r="D151">
        <v>3669034</v>
      </c>
      <c r="E151">
        <v>15198756</v>
      </c>
      <c r="F151">
        <v>6.5030000000000001</v>
      </c>
      <c r="G151">
        <v>1.397</v>
      </c>
      <c r="H151">
        <v>120003</v>
      </c>
      <c r="I151">
        <v>0</v>
      </c>
      <c r="J151">
        <v>0</v>
      </c>
      <c r="K151">
        <v>1</v>
      </c>
      <c r="L151">
        <v>120003</v>
      </c>
      <c r="M151">
        <v>9199.9989010000008</v>
      </c>
      <c r="N151">
        <v>184.11025599999999</v>
      </c>
      <c r="P151">
        <v>1</v>
      </c>
      <c r="R151">
        <v>129202.99890000001</v>
      </c>
      <c r="S151">
        <v>129202.9991</v>
      </c>
      <c r="U151">
        <v>1</v>
      </c>
      <c r="V151">
        <v>1</v>
      </c>
      <c r="W151">
        <v>1</v>
      </c>
      <c r="X151">
        <v>0</v>
      </c>
      <c r="Y151">
        <v>0</v>
      </c>
      <c r="Z151">
        <v>0</v>
      </c>
      <c r="AA151">
        <v>1.397</v>
      </c>
      <c r="AC151">
        <v>176.15797499999999</v>
      </c>
      <c r="AE151">
        <v>1</v>
      </c>
      <c r="AF151">
        <v>673</v>
      </c>
      <c r="AH151">
        <v>0</v>
      </c>
      <c r="AJ151">
        <v>11906</v>
      </c>
      <c r="AL151">
        <v>8</v>
      </c>
      <c r="AN151">
        <v>673</v>
      </c>
      <c r="AO151">
        <v>0</v>
      </c>
      <c r="AP151">
        <v>11906</v>
      </c>
      <c r="AQ151">
        <v>8</v>
      </c>
      <c r="AR151">
        <v>22.123999999999999</v>
      </c>
      <c r="AS151">
        <v>9</v>
      </c>
      <c r="AU151">
        <v>2.4582220000000001</v>
      </c>
    </row>
    <row r="152" spans="1:48" x14ac:dyDescent="0.3">
      <c r="A152" t="s">
        <v>130</v>
      </c>
      <c r="B152">
        <v>9599.9990049999997</v>
      </c>
      <c r="C152">
        <v>5.9339000000000003E-2</v>
      </c>
      <c r="D152">
        <v>33126619</v>
      </c>
      <c r="E152">
        <v>167185924</v>
      </c>
      <c r="F152">
        <v>88.165000000000006</v>
      </c>
      <c r="G152">
        <v>17.899000000000001</v>
      </c>
      <c r="H152">
        <v>110002</v>
      </c>
      <c r="I152">
        <v>0</v>
      </c>
      <c r="J152">
        <v>0</v>
      </c>
      <c r="K152">
        <v>1</v>
      </c>
      <c r="L152">
        <v>110002</v>
      </c>
      <c r="M152">
        <v>9599.9989860000005</v>
      </c>
      <c r="N152">
        <v>812.78608299999996</v>
      </c>
      <c r="P152">
        <v>1</v>
      </c>
      <c r="R152">
        <v>119601.999</v>
      </c>
      <c r="S152">
        <v>119601.999</v>
      </c>
      <c r="U152">
        <v>1</v>
      </c>
      <c r="V152">
        <v>1</v>
      </c>
      <c r="W152">
        <v>1</v>
      </c>
      <c r="X152">
        <v>0</v>
      </c>
      <c r="Y152">
        <v>0</v>
      </c>
      <c r="Z152">
        <v>0</v>
      </c>
      <c r="AA152">
        <v>17.899000000000001</v>
      </c>
      <c r="AC152">
        <v>706.66274399999998</v>
      </c>
      <c r="AE152">
        <v>1</v>
      </c>
      <c r="AF152">
        <v>3796</v>
      </c>
      <c r="AH152">
        <v>0</v>
      </c>
      <c r="AJ152">
        <v>51953</v>
      </c>
      <c r="AL152">
        <v>8</v>
      </c>
      <c r="AN152">
        <v>3796</v>
      </c>
      <c r="AO152">
        <v>0</v>
      </c>
      <c r="AP152">
        <v>51953</v>
      </c>
      <c r="AQ152">
        <v>8</v>
      </c>
      <c r="AR152">
        <v>34.374000000000002</v>
      </c>
      <c r="AS152">
        <v>12</v>
      </c>
      <c r="AU152">
        <v>2.8645</v>
      </c>
    </row>
    <row r="153" spans="1:48" x14ac:dyDescent="0.3">
      <c r="A153" t="s">
        <v>131</v>
      </c>
      <c r="B153">
        <v>9286.6645929999995</v>
      </c>
      <c r="C153">
        <v>5.3351999999999997E-2</v>
      </c>
      <c r="D153">
        <v>28517506</v>
      </c>
      <c r="E153">
        <v>142243830</v>
      </c>
      <c r="F153">
        <v>72.712999999999994</v>
      </c>
      <c r="G153">
        <v>14.015000000000001</v>
      </c>
      <c r="H153">
        <v>120002</v>
      </c>
      <c r="I153">
        <v>0</v>
      </c>
      <c r="J153">
        <v>0</v>
      </c>
      <c r="K153">
        <v>1</v>
      </c>
      <c r="L153">
        <v>120002</v>
      </c>
      <c r="M153">
        <v>9286.6645430000008</v>
      </c>
      <c r="N153">
        <v>3114.2887059999998</v>
      </c>
      <c r="P153">
        <v>1</v>
      </c>
      <c r="R153">
        <v>129288.6645</v>
      </c>
      <c r="S153">
        <v>129288.6646</v>
      </c>
      <c r="U153">
        <v>1</v>
      </c>
      <c r="V153">
        <v>1</v>
      </c>
      <c r="W153">
        <v>1</v>
      </c>
      <c r="X153">
        <v>0</v>
      </c>
      <c r="Y153">
        <v>0</v>
      </c>
      <c r="Z153">
        <v>0</v>
      </c>
      <c r="AA153">
        <v>14.015000000000001</v>
      </c>
      <c r="AC153">
        <v>3027.5073539999999</v>
      </c>
      <c r="AE153">
        <v>1</v>
      </c>
      <c r="AF153">
        <v>14316</v>
      </c>
      <c r="AH153">
        <v>0</v>
      </c>
      <c r="AJ153">
        <v>82768</v>
      </c>
      <c r="AL153">
        <v>755</v>
      </c>
      <c r="AN153">
        <v>14316</v>
      </c>
      <c r="AO153">
        <v>0</v>
      </c>
      <c r="AP153">
        <v>82768</v>
      </c>
      <c r="AQ153">
        <v>755</v>
      </c>
      <c r="AR153">
        <v>2085.36</v>
      </c>
      <c r="AS153">
        <v>756</v>
      </c>
      <c r="AU153">
        <v>2.758413</v>
      </c>
    </row>
    <row r="154" spans="1:48" x14ac:dyDescent="0.3">
      <c r="A154" t="s">
        <v>132</v>
      </c>
      <c r="B154">
        <v>9213.3329869999998</v>
      </c>
      <c r="C154">
        <v>5.1556999999999999E-2</v>
      </c>
      <c r="D154">
        <v>29219537</v>
      </c>
      <c r="E154">
        <v>146542916</v>
      </c>
      <c r="F154">
        <v>75.462999999999994</v>
      </c>
      <c r="G154">
        <v>14.993</v>
      </c>
      <c r="H154">
        <v>120001</v>
      </c>
      <c r="I154">
        <v>0</v>
      </c>
      <c r="J154">
        <v>0</v>
      </c>
      <c r="K154">
        <v>1</v>
      </c>
      <c r="L154">
        <v>120001</v>
      </c>
      <c r="M154">
        <v>9213.3328500000007</v>
      </c>
      <c r="N154">
        <v>1374.1185499999999</v>
      </c>
      <c r="P154">
        <v>1</v>
      </c>
      <c r="R154">
        <v>129214.33289999999</v>
      </c>
      <c r="S154">
        <v>129214.333</v>
      </c>
      <c r="U154">
        <v>1</v>
      </c>
      <c r="V154">
        <v>1</v>
      </c>
      <c r="W154">
        <v>1</v>
      </c>
      <c r="X154">
        <v>0</v>
      </c>
      <c r="Y154">
        <v>0</v>
      </c>
      <c r="Z154">
        <v>0</v>
      </c>
      <c r="AA154">
        <v>14.993</v>
      </c>
      <c r="AC154">
        <v>1283.610993</v>
      </c>
      <c r="AE154">
        <v>1</v>
      </c>
      <c r="AF154">
        <v>3072</v>
      </c>
      <c r="AH154">
        <v>0</v>
      </c>
      <c r="AJ154">
        <v>58565</v>
      </c>
      <c r="AL154">
        <v>325</v>
      </c>
      <c r="AN154">
        <v>3072</v>
      </c>
      <c r="AO154">
        <v>0</v>
      </c>
      <c r="AP154">
        <v>58565</v>
      </c>
      <c r="AQ154">
        <v>325</v>
      </c>
      <c r="AR154">
        <v>902.68399999999997</v>
      </c>
      <c r="AS154">
        <v>326</v>
      </c>
      <c r="AU154">
        <v>2.7689689999999998</v>
      </c>
    </row>
    <row r="155" spans="1:48" x14ac:dyDescent="0.3">
      <c r="A155" t="s">
        <v>133</v>
      </c>
      <c r="B155">
        <v>8840.0000689999997</v>
      </c>
      <c r="C155">
        <v>4.9377999999999998E-2</v>
      </c>
      <c r="D155">
        <v>7176419</v>
      </c>
      <c r="E155">
        <v>32840716</v>
      </c>
      <c r="F155">
        <v>14.81</v>
      </c>
      <c r="G155">
        <v>3.1419999999999999</v>
      </c>
      <c r="H155">
        <v>120004</v>
      </c>
      <c r="I155">
        <v>0</v>
      </c>
      <c r="J155">
        <v>0</v>
      </c>
      <c r="K155">
        <v>1</v>
      </c>
      <c r="L155">
        <v>120004</v>
      </c>
      <c r="M155">
        <v>8840.0000510000009</v>
      </c>
      <c r="N155">
        <v>578.50023400000009</v>
      </c>
      <c r="P155">
        <v>1</v>
      </c>
      <c r="R155">
        <v>128844.0001</v>
      </c>
      <c r="S155">
        <v>128844.0001</v>
      </c>
      <c r="U155">
        <v>1</v>
      </c>
      <c r="V155">
        <v>1</v>
      </c>
      <c r="W155">
        <v>1</v>
      </c>
      <c r="X155">
        <v>0</v>
      </c>
      <c r="Y155">
        <v>0</v>
      </c>
      <c r="Z155">
        <v>0</v>
      </c>
      <c r="AA155">
        <v>3.1419999999999999</v>
      </c>
      <c r="AC155">
        <v>560.49885600000005</v>
      </c>
      <c r="AE155">
        <v>1</v>
      </c>
      <c r="AF155">
        <v>5073</v>
      </c>
      <c r="AH155">
        <v>0</v>
      </c>
      <c r="AJ155">
        <v>45089</v>
      </c>
      <c r="AL155">
        <v>83</v>
      </c>
      <c r="AN155">
        <v>5073</v>
      </c>
      <c r="AO155">
        <v>0</v>
      </c>
      <c r="AP155">
        <v>45089</v>
      </c>
      <c r="AQ155">
        <v>83</v>
      </c>
      <c r="AR155">
        <v>214.99100000000001</v>
      </c>
      <c r="AS155">
        <v>84</v>
      </c>
      <c r="AU155">
        <v>2.5594169999999998</v>
      </c>
    </row>
    <row r="156" spans="1:48" x14ac:dyDescent="0.3">
      <c r="A156" t="s">
        <v>134</v>
      </c>
      <c r="B156">
        <v>9159.9998410000007</v>
      </c>
      <c r="C156">
        <v>4.7751000000000002E-2</v>
      </c>
      <c r="D156">
        <v>1774319</v>
      </c>
      <c r="E156">
        <v>6825591</v>
      </c>
      <c r="F156">
        <v>2.6629999999999998</v>
      </c>
      <c r="G156">
        <v>0.627</v>
      </c>
      <c r="H156">
        <v>120001</v>
      </c>
      <c r="I156">
        <v>0</v>
      </c>
      <c r="J156">
        <v>0</v>
      </c>
      <c r="K156">
        <v>1</v>
      </c>
      <c r="L156">
        <v>120001</v>
      </c>
      <c r="M156">
        <v>9159.9998759999999</v>
      </c>
      <c r="N156">
        <v>2479.4123970000001</v>
      </c>
      <c r="P156">
        <v>1</v>
      </c>
      <c r="R156">
        <v>129160.9999</v>
      </c>
      <c r="S156">
        <v>129160.99980000001</v>
      </c>
      <c r="U156">
        <v>1</v>
      </c>
      <c r="V156">
        <v>1</v>
      </c>
      <c r="W156">
        <v>1</v>
      </c>
      <c r="X156">
        <v>0</v>
      </c>
      <c r="Y156">
        <v>0</v>
      </c>
      <c r="Z156">
        <v>0</v>
      </c>
      <c r="AA156">
        <v>0.627</v>
      </c>
      <c r="AC156">
        <v>2476.074646</v>
      </c>
      <c r="AE156">
        <v>1</v>
      </c>
      <c r="AF156">
        <v>7667</v>
      </c>
      <c r="AH156">
        <v>0</v>
      </c>
      <c r="AJ156">
        <v>181030</v>
      </c>
      <c r="AL156">
        <v>86</v>
      </c>
      <c r="AN156">
        <v>7667</v>
      </c>
      <c r="AO156">
        <v>0</v>
      </c>
      <c r="AP156">
        <v>181030</v>
      </c>
      <c r="AQ156">
        <v>86</v>
      </c>
      <c r="AR156">
        <v>275.27499999999998</v>
      </c>
      <c r="AS156">
        <v>88</v>
      </c>
      <c r="AU156">
        <v>3.1281249999999998</v>
      </c>
    </row>
    <row r="157" spans="1:48" x14ac:dyDescent="0.3">
      <c r="A157" t="s">
        <v>135</v>
      </c>
      <c r="B157">
        <v>8840.0000689999997</v>
      </c>
      <c r="C157">
        <v>4.8188000000000002E-2</v>
      </c>
      <c r="D157">
        <v>16746785</v>
      </c>
      <c r="E157">
        <v>82340191</v>
      </c>
      <c r="F157">
        <v>40.009</v>
      </c>
      <c r="G157">
        <v>7.8819999999999997</v>
      </c>
      <c r="H157">
        <v>120002</v>
      </c>
      <c r="I157">
        <v>0</v>
      </c>
      <c r="J157">
        <v>0</v>
      </c>
      <c r="K157">
        <v>1</v>
      </c>
      <c r="L157">
        <v>120002</v>
      </c>
      <c r="M157">
        <v>8840.0000469999995</v>
      </c>
      <c r="N157">
        <v>2602.1604399999997</v>
      </c>
      <c r="P157">
        <v>1</v>
      </c>
      <c r="R157">
        <v>128842</v>
      </c>
      <c r="S157">
        <v>128842.0001</v>
      </c>
      <c r="U157">
        <v>1</v>
      </c>
      <c r="V157">
        <v>1</v>
      </c>
      <c r="W157">
        <v>1</v>
      </c>
      <c r="X157">
        <v>0</v>
      </c>
      <c r="Y157">
        <v>0</v>
      </c>
      <c r="Z157">
        <v>0</v>
      </c>
      <c r="AA157">
        <v>7.8819999999999997</v>
      </c>
      <c r="AC157">
        <v>2554.2212519999998</v>
      </c>
      <c r="AE157">
        <v>1</v>
      </c>
      <c r="AF157">
        <v>23400</v>
      </c>
      <c r="AH157">
        <v>0</v>
      </c>
      <c r="AJ157">
        <v>133742</v>
      </c>
      <c r="AL157">
        <v>355</v>
      </c>
      <c r="AN157">
        <v>23400</v>
      </c>
      <c r="AO157">
        <v>0</v>
      </c>
      <c r="AP157">
        <v>133742</v>
      </c>
      <c r="AQ157">
        <v>355</v>
      </c>
      <c r="AR157">
        <v>884.34400000000005</v>
      </c>
      <c r="AS157">
        <v>356</v>
      </c>
      <c r="AU157">
        <v>2.4841120000000001</v>
      </c>
    </row>
    <row r="158" spans="1:48" x14ac:dyDescent="0.3">
      <c r="A158" t="s">
        <v>136</v>
      </c>
      <c r="B158">
        <v>9793.3333459999994</v>
      </c>
      <c r="C158">
        <v>5.4537000000000002E-2</v>
      </c>
      <c r="D158">
        <v>11889027</v>
      </c>
      <c r="E158">
        <v>57135316</v>
      </c>
      <c r="F158">
        <v>26.728999999999999</v>
      </c>
      <c r="G158">
        <v>5.4610000000000003</v>
      </c>
      <c r="H158">
        <v>120002</v>
      </c>
      <c r="I158">
        <v>0</v>
      </c>
      <c r="J158">
        <v>0</v>
      </c>
      <c r="K158">
        <v>1</v>
      </c>
      <c r="L158">
        <v>120002</v>
      </c>
      <c r="M158">
        <v>9793.3333449999991</v>
      </c>
      <c r="N158">
        <v>1492.891901</v>
      </c>
      <c r="P158">
        <v>1</v>
      </c>
      <c r="R158">
        <v>129795.3333</v>
      </c>
      <c r="S158">
        <v>129795.3333</v>
      </c>
      <c r="U158">
        <v>1</v>
      </c>
      <c r="V158">
        <v>1</v>
      </c>
      <c r="W158">
        <v>1</v>
      </c>
      <c r="X158">
        <v>0</v>
      </c>
      <c r="Y158">
        <v>0</v>
      </c>
      <c r="Z158">
        <v>0</v>
      </c>
      <c r="AA158">
        <v>5.4610000000000003</v>
      </c>
      <c r="AC158">
        <v>1460.6473639999999</v>
      </c>
      <c r="AE158">
        <v>1</v>
      </c>
      <c r="AF158">
        <v>16847</v>
      </c>
      <c r="AH158">
        <v>0</v>
      </c>
      <c r="AJ158">
        <v>79686</v>
      </c>
      <c r="AL158">
        <v>23</v>
      </c>
      <c r="AN158">
        <v>16847</v>
      </c>
      <c r="AO158">
        <v>0</v>
      </c>
      <c r="AP158">
        <v>79686</v>
      </c>
      <c r="AQ158">
        <v>23</v>
      </c>
      <c r="AR158">
        <v>67.567999999999998</v>
      </c>
      <c r="AS158">
        <v>24</v>
      </c>
      <c r="AU158">
        <v>2.8153329999999999</v>
      </c>
    </row>
    <row r="159" spans="1:48" x14ac:dyDescent="0.3">
      <c r="A159" t="s">
        <v>137</v>
      </c>
      <c r="B159">
        <v>8806.6660109999993</v>
      </c>
      <c r="C159">
        <v>6.6224000000000005E-2</v>
      </c>
      <c r="D159">
        <v>19092292</v>
      </c>
      <c r="E159">
        <v>93132929</v>
      </c>
      <c r="F159">
        <v>46.228000000000002</v>
      </c>
      <c r="G159">
        <v>9.27</v>
      </c>
      <c r="H159">
        <v>120003</v>
      </c>
      <c r="I159">
        <v>0</v>
      </c>
      <c r="J159">
        <v>0</v>
      </c>
      <c r="K159">
        <v>1</v>
      </c>
      <c r="L159">
        <v>120003</v>
      </c>
      <c r="M159">
        <v>8806.6659880000007</v>
      </c>
      <c r="N159">
        <v>1983.6311719999999</v>
      </c>
      <c r="P159">
        <v>1</v>
      </c>
      <c r="R159">
        <v>128809.666</v>
      </c>
      <c r="S159">
        <v>128809.666</v>
      </c>
      <c r="U159">
        <v>1</v>
      </c>
      <c r="V159">
        <v>1</v>
      </c>
      <c r="W159">
        <v>1</v>
      </c>
      <c r="X159">
        <v>0</v>
      </c>
      <c r="Y159">
        <v>0</v>
      </c>
      <c r="Z159">
        <v>0</v>
      </c>
      <c r="AA159">
        <v>9.27</v>
      </c>
      <c r="AC159">
        <v>1928.0669479999999</v>
      </c>
      <c r="AE159">
        <v>1</v>
      </c>
      <c r="AF159">
        <v>20094</v>
      </c>
      <c r="AH159">
        <v>0</v>
      </c>
      <c r="AJ159">
        <v>32253</v>
      </c>
      <c r="AL159">
        <v>492</v>
      </c>
      <c r="AN159">
        <v>20094</v>
      </c>
      <c r="AO159">
        <v>0</v>
      </c>
      <c r="AP159">
        <v>32253</v>
      </c>
      <c r="AQ159">
        <v>492</v>
      </c>
      <c r="AR159">
        <v>1368.7760000000001</v>
      </c>
      <c r="AS159">
        <v>493</v>
      </c>
      <c r="AU159">
        <v>2.7764220000000002</v>
      </c>
    </row>
  </sheetData>
  <autoFilter ref="A1:Z159" xr:uid="{00000000-0001-0000-0000-000000000000}"/>
  <phoneticPr fontId="18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573DAF-45C0-4426-81E9-7BFDD3B420EF}">
  <dimension ref="A1:F7"/>
  <sheetViews>
    <sheetView tabSelected="1" workbookViewId="0">
      <selection sqref="A1:F1048576"/>
    </sheetView>
  </sheetViews>
  <sheetFormatPr defaultRowHeight="14" x14ac:dyDescent="0.3"/>
  <cols>
    <col min="1" max="6" width="8.6640625" style="2"/>
  </cols>
  <sheetData>
    <row r="1" spans="1:6" x14ac:dyDescent="0.3">
      <c r="A1" s="2" t="s">
        <v>209</v>
      </c>
      <c r="B1" s="2" t="s">
        <v>205</v>
      </c>
      <c r="C1" s="2" t="s">
        <v>201</v>
      </c>
      <c r="D1" s="2" t="s">
        <v>203</v>
      </c>
      <c r="E1" s="2" t="s">
        <v>206</v>
      </c>
      <c r="F1" s="2" t="s">
        <v>207</v>
      </c>
    </row>
    <row r="2" spans="1:6" x14ac:dyDescent="0.3">
      <c r="A2" s="2">
        <v>10</v>
      </c>
      <c r="B2" s="2">
        <v>30</v>
      </c>
      <c r="C2" s="2">
        <v>0</v>
      </c>
      <c r="D2" s="2">
        <v>0.10292366666666665</v>
      </c>
      <c r="E2" s="2">
        <v>0.11539513333333332</v>
      </c>
      <c r="F2" s="2">
        <v>0.16666666666666666</v>
      </c>
    </row>
    <row r="3" spans="1:6" x14ac:dyDescent="0.3">
      <c r="A3" s="2">
        <v>20</v>
      </c>
      <c r="B3" s="2">
        <v>30</v>
      </c>
      <c r="C3" s="2">
        <v>6.5000000000000006E-3</v>
      </c>
      <c r="D3" s="2">
        <v>1.1727074</v>
      </c>
      <c r="E3" s="2">
        <v>1.2305431666666666</v>
      </c>
      <c r="F3" s="2">
        <v>3.3666666666666667</v>
      </c>
    </row>
    <row r="4" spans="1:6" x14ac:dyDescent="0.3">
      <c r="A4" s="2">
        <v>30</v>
      </c>
      <c r="B4" s="2">
        <v>30</v>
      </c>
      <c r="C4" s="2">
        <v>0.14236666666666667</v>
      </c>
      <c r="D4" s="2">
        <v>10.661002033333331</v>
      </c>
      <c r="E4" s="2">
        <v>11.414247899999998</v>
      </c>
      <c r="F4" s="2">
        <v>20.6</v>
      </c>
    </row>
    <row r="5" spans="1:6" x14ac:dyDescent="0.3">
      <c r="A5" s="2">
        <v>40</v>
      </c>
      <c r="B5" s="2">
        <v>30</v>
      </c>
      <c r="C5" s="2">
        <v>1.1359000000000001</v>
      </c>
      <c r="D5" s="2">
        <v>229.21429599999999</v>
      </c>
      <c r="E5" s="2">
        <v>235.7066394</v>
      </c>
      <c r="F5" s="2">
        <v>119.63333333333334</v>
      </c>
    </row>
    <row r="6" spans="1:6" x14ac:dyDescent="0.3">
      <c r="A6" s="2">
        <v>50</v>
      </c>
      <c r="B6" s="2">
        <v>27</v>
      </c>
      <c r="C6" s="2">
        <v>4.4197037037037035</v>
      </c>
      <c r="D6" s="2">
        <v>1054.6421749259259</v>
      </c>
      <c r="E6" s="2">
        <v>1081.755404888889</v>
      </c>
      <c r="F6" s="2">
        <v>164.77777777777777</v>
      </c>
    </row>
    <row r="7" spans="1:6" x14ac:dyDescent="0.3">
      <c r="A7" s="2">
        <v>60</v>
      </c>
      <c r="B7" s="2">
        <v>11</v>
      </c>
      <c r="C7" s="2">
        <v>6.9923636363636357</v>
      </c>
      <c r="D7" s="2">
        <v>1337.6161019090907</v>
      </c>
      <c r="E7" s="2">
        <v>1379.4135316363636</v>
      </c>
      <c r="F7" s="2">
        <v>194.27272727272728</v>
      </c>
    </row>
  </sheetData>
  <autoFilter ref="B1:B7" xr:uid="{03573DAF-45C0-4426-81E9-7BFDD3B420EF}"/>
  <phoneticPr fontId="18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1010010-Com</vt:lpstr>
      <vt:lpstr>Summary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Xinyi Guo</dc:creator>
  <cp:lastModifiedBy>Xinyi Guo</cp:lastModifiedBy>
  <dcterms:created xsi:type="dcterms:W3CDTF">2023-12-18T09:37:52Z</dcterms:created>
  <dcterms:modified xsi:type="dcterms:W3CDTF">2024-07-31T15:36:31Z</dcterms:modified>
</cp:coreProperties>
</file>