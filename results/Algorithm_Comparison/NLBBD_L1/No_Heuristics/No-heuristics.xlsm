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XYCreate\Work1\初稿\Instances and Results - Upload\Results\Algorithm_Comparison\NLBBD_L1\No_Heuristic\"/>
    </mc:Choice>
  </mc:AlternateContent>
  <xr:revisionPtr revIDLastSave="0" documentId="13_ncr:1_{02EB0B1B-E54D-40B9-90A4-01A1AC571F18}" xr6:coauthVersionLast="47" xr6:coauthVersionMax="47" xr10:uidLastSave="{00000000-0000-0000-0000-000000000000}"/>
  <bookViews>
    <workbookView xWindow="-110" yWindow="-110" windowWidth="25820" windowHeight="13900" activeTab="1" xr2:uid="{00000000-000D-0000-FFFF-FFFF00000000}"/>
  </bookViews>
  <sheets>
    <sheet name="0-NLBBD-Com" sheetId="1" r:id="rId1"/>
    <sheet name="Summary" sheetId="4" r:id="rId2"/>
  </sheets>
  <definedNames>
    <definedName name="_xlnm._FilterDatabase" localSheetId="0" hidden="1">'0-NLBBD-Com'!$A$1:$A$361</definedName>
    <definedName name="_xlnm._FilterDatabase" localSheetId="1" hidden="1">Summary!$B$1:$B$13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42" i="1" l="1"/>
  <c r="L212" i="1"/>
  <c r="L182" i="1"/>
  <c r="L152" i="1"/>
  <c r="L122" i="1"/>
  <c r="L92" i="1"/>
  <c r="L62" i="1"/>
  <c r="L32" i="1"/>
  <c r="L2" i="1"/>
</calcChain>
</file>

<file path=xl/sharedStrings.xml><?xml version="1.0" encoding="utf-8"?>
<sst xmlns="http://schemas.openxmlformats.org/spreadsheetml/2006/main" count="412" uniqueCount="403">
  <si>
    <t>Ins</t>
  </si>
  <si>
    <t>LB.2nd.Stage</t>
  </si>
  <si>
    <t>Time.LB</t>
  </si>
  <si>
    <t>Get opt sol by SP-Heu</t>
  </si>
  <si>
    <t>Obj.MP</t>
  </si>
  <si>
    <t>Obj.SP</t>
  </si>
  <si>
    <t>Obj.F1F2</t>
  </si>
  <si>
    <t>Obj.theta</t>
  </si>
  <si>
    <t>Total.Time</t>
  </si>
  <si>
    <t>Num.LBBD.Iters</t>
  </si>
  <si>
    <t>UB</t>
  </si>
  <si>
    <t>LB</t>
  </si>
  <si>
    <t>OP.Status</t>
  </si>
  <si>
    <t>MP.Status</t>
  </si>
  <si>
    <t>SP.Status</t>
  </si>
  <si>
    <t>Gap</t>
  </si>
  <si>
    <t>MP.gap</t>
  </si>
  <si>
    <t>SP.gap</t>
  </si>
  <si>
    <t>Num.LBBD.OptCut</t>
  </si>
  <si>
    <t>Num.LBBD.NogoodCut</t>
  </si>
  <si>
    <t>Total.Time.MP</t>
  </si>
  <si>
    <t>Total.Time.SP</t>
  </si>
  <si>
    <t>Num.SP.Solved</t>
  </si>
  <si>
    <t>Num.Lazy1</t>
  </si>
  <si>
    <t>Num.Lazy2</t>
  </si>
  <si>
    <t>Num.Lazy3</t>
  </si>
  <si>
    <t>Num.SP-Nogood.Cuts</t>
  </si>
  <si>
    <t>Avg.Num.Lazy1</t>
  </si>
  <si>
    <t>Avg.Num.Lazy2</t>
  </si>
  <si>
    <t>Avg.Num.Lazy3</t>
  </si>
  <si>
    <t>Avg.Num.SP-No.Cuts</t>
  </si>
  <si>
    <t>Time.Solve.SP2-S2</t>
  </si>
  <si>
    <t>Num.SP-S2.Solved</t>
  </si>
  <si>
    <t>Avg.Time.Solve.SP-S2</t>
  </si>
  <si>
    <t>20_15</t>
  </si>
  <si>
    <t>20_27</t>
  </si>
  <si>
    <t>20_7</t>
  </si>
  <si>
    <t>20_21</t>
  </si>
  <si>
    <t>20_5</t>
  </si>
  <si>
    <t>20_6</t>
  </si>
  <si>
    <t>20_2</t>
  </si>
  <si>
    <t>20_13</t>
  </si>
  <si>
    <t>20_11</t>
  </si>
  <si>
    <t>20_9</t>
  </si>
  <si>
    <t>20_22</t>
  </si>
  <si>
    <t>20_1</t>
  </si>
  <si>
    <t>20_10</t>
  </si>
  <si>
    <t>20_24</t>
  </si>
  <si>
    <t>20_12</t>
  </si>
  <si>
    <t>20_20</t>
  </si>
  <si>
    <t>20_16</t>
  </si>
  <si>
    <t>20_30</t>
  </si>
  <si>
    <t>20_4</t>
  </si>
  <si>
    <t>20_8</t>
  </si>
  <si>
    <t>20_3</t>
  </si>
  <si>
    <t>20_26</t>
  </si>
  <si>
    <t>20_18</t>
  </si>
  <si>
    <t>20_17</t>
  </si>
  <si>
    <t>20_19</t>
  </si>
  <si>
    <t>20_23</t>
  </si>
  <si>
    <t>20_29</t>
  </si>
  <si>
    <t>20_14</t>
  </si>
  <si>
    <t>20_28</t>
  </si>
  <si>
    <t>20_25</t>
  </si>
  <si>
    <t>30_29</t>
  </si>
  <si>
    <t>30_12</t>
  </si>
  <si>
    <t>30_24</t>
  </si>
  <si>
    <t>30_14</t>
  </si>
  <si>
    <t>30_6</t>
  </si>
  <si>
    <t>30_11</t>
  </si>
  <si>
    <t>30_26</t>
  </si>
  <si>
    <t>30_22</t>
  </si>
  <si>
    <t>30_5</t>
  </si>
  <si>
    <t>30_2</t>
  </si>
  <si>
    <t>30_3</t>
  </si>
  <si>
    <t>30_8</t>
  </si>
  <si>
    <t>30_16</t>
  </si>
  <si>
    <t>30_20</t>
  </si>
  <si>
    <t>30_15</t>
  </si>
  <si>
    <t>30_21</t>
  </si>
  <si>
    <t>30_25</t>
  </si>
  <si>
    <t>30_7</t>
  </si>
  <si>
    <t>30_30</t>
  </si>
  <si>
    <t>30_17</t>
  </si>
  <si>
    <t>30_23</t>
  </si>
  <si>
    <t>30_19</t>
  </si>
  <si>
    <t>30_4</t>
  </si>
  <si>
    <t>30_18</t>
  </si>
  <si>
    <t>30_1</t>
  </si>
  <si>
    <t>30_28</t>
  </si>
  <si>
    <t>30_10</t>
  </si>
  <si>
    <t>40_15</t>
  </si>
  <si>
    <t>40_5</t>
  </si>
  <si>
    <t>40_3</t>
  </si>
  <si>
    <t>40_7</t>
  </si>
  <si>
    <t>40_13</t>
  </si>
  <si>
    <t>30_9</t>
  </si>
  <si>
    <t>40_11</t>
  </si>
  <si>
    <t>40_18</t>
  </si>
  <si>
    <t>40_23</t>
  </si>
  <si>
    <t>40_10</t>
  </si>
  <si>
    <t>40_8</t>
  </si>
  <si>
    <t>40_24</t>
  </si>
  <si>
    <t>40_25</t>
  </si>
  <si>
    <t>40_26</t>
  </si>
  <si>
    <t>40_20</t>
  </si>
  <si>
    <t>40_19</t>
  </si>
  <si>
    <t>40_17</t>
  </si>
  <si>
    <t>40_21</t>
  </si>
  <si>
    <t>40_6</t>
  </si>
  <si>
    <t>40_12</t>
  </si>
  <si>
    <t>40_16</t>
  </si>
  <si>
    <t>40_2</t>
  </si>
  <si>
    <t>30_13</t>
  </si>
  <si>
    <t>40_14</t>
  </si>
  <si>
    <t>40_27</t>
  </si>
  <si>
    <t>40_30</t>
  </si>
  <si>
    <t>40_29</t>
  </si>
  <si>
    <t>40_28</t>
  </si>
  <si>
    <t>40_1</t>
  </si>
  <si>
    <t>40_22</t>
  </si>
  <si>
    <t>30_27</t>
  </si>
  <si>
    <t>40_9</t>
  </si>
  <si>
    <t>40_4</t>
  </si>
  <si>
    <t>100_2</t>
  </si>
  <si>
    <t>100_1</t>
  </si>
  <si>
    <t>100_3</t>
  </si>
  <si>
    <t>100_4</t>
  </si>
  <si>
    <t>100_5</t>
  </si>
  <si>
    <t>100_6</t>
  </si>
  <si>
    <t>100_7</t>
  </si>
  <si>
    <t>100_11</t>
  </si>
  <si>
    <t>100_8</t>
  </si>
  <si>
    <t>100_9</t>
  </si>
  <si>
    <t>100_10</t>
  </si>
  <si>
    <t>70_10</t>
  </si>
  <si>
    <t>100_12</t>
  </si>
  <si>
    <t>70_4</t>
  </si>
  <si>
    <t>100_20</t>
  </si>
  <si>
    <t>100_13</t>
  </si>
  <si>
    <t>70_6</t>
  </si>
  <si>
    <t>100_14</t>
  </si>
  <si>
    <t>70_3</t>
  </si>
  <si>
    <t>70_9</t>
  </si>
  <si>
    <t>100_16</t>
  </si>
  <si>
    <t>100_17</t>
  </si>
  <si>
    <t>70_11</t>
  </si>
  <si>
    <t>70_19</t>
  </si>
  <si>
    <t>70_22</t>
  </si>
  <si>
    <t>70_21</t>
  </si>
  <si>
    <t>100_18</t>
  </si>
  <si>
    <t>100_19</t>
  </si>
  <si>
    <t>70_5</t>
  </si>
  <si>
    <t>100_22</t>
  </si>
  <si>
    <t>70_28</t>
  </si>
  <si>
    <t>70_24</t>
  </si>
  <si>
    <t>100_23</t>
  </si>
  <si>
    <t>100_24</t>
  </si>
  <si>
    <t>100_25</t>
  </si>
  <si>
    <t>100_21</t>
  </si>
  <si>
    <t>100_26</t>
  </si>
  <si>
    <t>100_15</t>
  </si>
  <si>
    <t>70_23</t>
  </si>
  <si>
    <t>100_27</t>
  </si>
  <si>
    <t>70_2</t>
  </si>
  <si>
    <t>100_28</t>
  </si>
  <si>
    <t>100_29</t>
  </si>
  <si>
    <t>100_30</t>
  </si>
  <si>
    <t>70_1</t>
  </si>
  <si>
    <t>70_7</t>
  </si>
  <si>
    <t>50_1</t>
  </si>
  <si>
    <t>70_8</t>
  </si>
  <si>
    <t>70_25</t>
  </si>
  <si>
    <t>50_5</t>
  </si>
  <si>
    <t>50_2</t>
  </si>
  <si>
    <t>50_3</t>
  </si>
  <si>
    <t>50_6</t>
  </si>
  <si>
    <t>50_9</t>
  </si>
  <si>
    <t>50_8</t>
  </si>
  <si>
    <t>50_12</t>
  </si>
  <si>
    <t>50_21</t>
  </si>
  <si>
    <t>50_20</t>
  </si>
  <si>
    <t>50_19</t>
  </si>
  <si>
    <t>50_18</t>
  </si>
  <si>
    <t>50_26</t>
  </si>
  <si>
    <t>50_29</t>
  </si>
  <si>
    <t>50_23</t>
  </si>
  <si>
    <t>70_14</t>
  </si>
  <si>
    <t>70_12</t>
  </si>
  <si>
    <t>70_13</t>
  </si>
  <si>
    <t>70_15</t>
  </si>
  <si>
    <t>70_16</t>
  </si>
  <si>
    <t>70_17</t>
  </si>
  <si>
    <t>60_1</t>
  </si>
  <si>
    <t>70_18</t>
  </si>
  <si>
    <t>50_25</t>
  </si>
  <si>
    <t>60_12</t>
  </si>
  <si>
    <t>60_6</t>
  </si>
  <si>
    <t>70_20</t>
  </si>
  <si>
    <t>60_3</t>
  </si>
  <si>
    <t>50_7</t>
  </si>
  <si>
    <t>60_11</t>
  </si>
  <si>
    <t>60_15</t>
  </si>
  <si>
    <t>50_27</t>
  </si>
  <si>
    <t>50_4</t>
  </si>
  <si>
    <t>50_24</t>
  </si>
  <si>
    <t>60_13</t>
  </si>
  <si>
    <t>60_19</t>
  </si>
  <si>
    <t>60_7</t>
  </si>
  <si>
    <t>60_18</t>
  </si>
  <si>
    <t>60_27</t>
  </si>
  <si>
    <t>60_8</t>
  </si>
  <si>
    <t>60_17</t>
  </si>
  <si>
    <t>60_28</t>
  </si>
  <si>
    <t>60_21</t>
  </si>
  <si>
    <t>60_10</t>
  </si>
  <si>
    <t>60_22</t>
  </si>
  <si>
    <t>70_26</t>
  </si>
  <si>
    <t>70_27</t>
  </si>
  <si>
    <t>70_29</t>
  </si>
  <si>
    <t>60_29</t>
  </si>
  <si>
    <t>60_2</t>
  </si>
  <si>
    <t>60_4</t>
  </si>
  <si>
    <t>60_16</t>
  </si>
  <si>
    <t>70_30</t>
  </si>
  <si>
    <t>60_26</t>
  </si>
  <si>
    <t>60_25</t>
  </si>
  <si>
    <t>50_10</t>
  </si>
  <si>
    <t>50_17</t>
  </si>
  <si>
    <t>50_22</t>
  </si>
  <si>
    <t>50_13</t>
  </si>
  <si>
    <t>50_15</t>
  </si>
  <si>
    <t>50_16</t>
  </si>
  <si>
    <t>50_30</t>
  </si>
  <si>
    <t>60_5</t>
  </si>
  <si>
    <t>60_9</t>
  </si>
  <si>
    <t>60_14</t>
  </si>
  <si>
    <t>50_28</t>
  </si>
  <si>
    <t>60_20</t>
  </si>
  <si>
    <t>60_24</t>
  </si>
  <si>
    <t>60_23</t>
  </si>
  <si>
    <t>50_11</t>
  </si>
  <si>
    <t>60_30</t>
  </si>
  <si>
    <t>50_14</t>
  </si>
  <si>
    <t>90_15</t>
  </si>
  <si>
    <t>90_8</t>
  </si>
  <si>
    <t>90_23</t>
  </si>
  <si>
    <t>90_19</t>
  </si>
  <si>
    <t>90_10</t>
  </si>
  <si>
    <t>90_21</t>
  </si>
  <si>
    <t>90_5</t>
  </si>
  <si>
    <t>90_7</t>
  </si>
  <si>
    <t>90_18</t>
  </si>
  <si>
    <t>90_20</t>
  </si>
  <si>
    <t>90_1</t>
  </si>
  <si>
    <t>90_3</t>
  </si>
  <si>
    <t>90_22</t>
  </si>
  <si>
    <t>90_25</t>
  </si>
  <si>
    <t>90_14</t>
  </si>
  <si>
    <t>90_11</t>
  </si>
  <si>
    <t>90_2</t>
  </si>
  <si>
    <t>90_24</t>
  </si>
  <si>
    <t>90_12</t>
  </si>
  <si>
    <t>90_6</t>
  </si>
  <si>
    <t>90_9</t>
  </si>
  <si>
    <t>90_4</t>
  </si>
  <si>
    <t>90_13</t>
  </si>
  <si>
    <t>90_16</t>
  </si>
  <si>
    <t>120_1</t>
  </si>
  <si>
    <t>120_2</t>
  </si>
  <si>
    <t>90_17</t>
  </si>
  <si>
    <t>120_3</t>
  </si>
  <si>
    <t>120_4</t>
  </si>
  <si>
    <t>120_5</t>
  </si>
  <si>
    <t>120_6</t>
  </si>
  <si>
    <t>120_7</t>
  </si>
  <si>
    <t>120_8</t>
  </si>
  <si>
    <t>120_9</t>
  </si>
  <si>
    <t>120_10</t>
  </si>
  <si>
    <t>120_12</t>
  </si>
  <si>
    <t>120_11</t>
  </si>
  <si>
    <t>120_13</t>
  </si>
  <si>
    <t>120_14</t>
  </si>
  <si>
    <t>120_15</t>
  </si>
  <si>
    <t>120_16</t>
  </si>
  <si>
    <t>120_17</t>
  </si>
  <si>
    <t>120_18</t>
  </si>
  <si>
    <t>120_19</t>
  </si>
  <si>
    <t>120_20</t>
  </si>
  <si>
    <t>120_21</t>
  </si>
  <si>
    <t>120_23</t>
  </si>
  <si>
    <t>120_25</t>
  </si>
  <si>
    <t>120_26</t>
  </si>
  <si>
    <t>120_28</t>
  </si>
  <si>
    <t>120_22</t>
  </si>
  <si>
    <t>120_24</t>
  </si>
  <si>
    <t>120_29</t>
  </si>
  <si>
    <t>120_27</t>
  </si>
  <si>
    <t>120_30</t>
  </si>
  <si>
    <t>90_27</t>
  </si>
  <si>
    <t>90_26</t>
  </si>
  <si>
    <t>90_29</t>
  </si>
  <si>
    <t>90_28</t>
  </si>
  <si>
    <t>90_30</t>
  </si>
  <si>
    <t>10_26</t>
  </si>
  <si>
    <t>10_18</t>
  </si>
  <si>
    <t>10_2</t>
  </si>
  <si>
    <t>10_8</t>
  </si>
  <si>
    <t>10_12</t>
  </si>
  <si>
    <t>10_7</t>
  </si>
  <si>
    <t>10_15</t>
  </si>
  <si>
    <t>10_9</t>
  </si>
  <si>
    <t>10_27</t>
  </si>
  <si>
    <t>10_3</t>
  </si>
  <si>
    <t>10_25</t>
  </si>
  <si>
    <t>10_23</t>
  </si>
  <si>
    <t>10_11</t>
  </si>
  <si>
    <t>10_24</t>
  </si>
  <si>
    <t>10_16</t>
  </si>
  <si>
    <t>10_28</t>
  </si>
  <si>
    <t>10_10</t>
  </si>
  <si>
    <t>10_22</t>
  </si>
  <si>
    <t>10_14</t>
  </si>
  <si>
    <t>10_1</t>
  </si>
  <si>
    <t>10_4</t>
  </si>
  <si>
    <t>10_19</t>
  </si>
  <si>
    <t>10_13</t>
  </si>
  <si>
    <t>10_20</t>
  </si>
  <si>
    <t>10_17</t>
  </si>
  <si>
    <t>10_29</t>
  </si>
  <si>
    <t>10_21</t>
  </si>
  <si>
    <t>10_30</t>
  </si>
  <si>
    <t>10_5</t>
  </si>
  <si>
    <t>10_6</t>
  </si>
  <si>
    <t>80_15</t>
  </si>
  <si>
    <t>80_11</t>
  </si>
  <si>
    <t>80_4</t>
  </si>
  <si>
    <t>80_13</t>
  </si>
  <si>
    <t>80_1</t>
  </si>
  <si>
    <t>80_7</t>
  </si>
  <si>
    <t>80_21</t>
  </si>
  <si>
    <t>80_3</t>
  </si>
  <si>
    <t>80_27</t>
  </si>
  <si>
    <t>80_8</t>
  </si>
  <si>
    <t>80_5</t>
  </si>
  <si>
    <t>110_10</t>
  </si>
  <si>
    <t>80_24</t>
  </si>
  <si>
    <t>80_22</t>
  </si>
  <si>
    <t>80_17</t>
  </si>
  <si>
    <t>80_20</t>
  </si>
  <si>
    <t>80_29</t>
  </si>
  <si>
    <t>80_30</t>
  </si>
  <si>
    <t>80_10</t>
  </si>
  <si>
    <t>80_16</t>
  </si>
  <si>
    <t>80_12</t>
  </si>
  <si>
    <t>80_9</t>
  </si>
  <si>
    <t>80_6</t>
  </si>
  <si>
    <t>80_14</t>
  </si>
  <si>
    <t>80_2</t>
  </si>
  <si>
    <t>110_1</t>
  </si>
  <si>
    <t>110_2</t>
  </si>
  <si>
    <t>110_4</t>
  </si>
  <si>
    <t>110_5</t>
  </si>
  <si>
    <t>110_3</t>
  </si>
  <si>
    <t>110_7</t>
  </si>
  <si>
    <t>80_25</t>
  </si>
  <si>
    <t>110_8</t>
  </si>
  <si>
    <t>110_9</t>
  </si>
  <si>
    <t>110_11</t>
  </si>
  <si>
    <t>110_12</t>
  </si>
  <si>
    <t>110_15</t>
  </si>
  <si>
    <t>110_14</t>
  </si>
  <si>
    <t>110_16</t>
  </si>
  <si>
    <t>110_6</t>
  </si>
  <si>
    <t>110_17</t>
  </si>
  <si>
    <t>110_13</t>
  </si>
  <si>
    <t>110_18</t>
  </si>
  <si>
    <t>110_19</t>
  </si>
  <si>
    <t>110_21</t>
  </si>
  <si>
    <t>110_20</t>
  </si>
  <si>
    <t>110_23</t>
  </si>
  <si>
    <t>110_24</t>
  </si>
  <si>
    <t>110_22</t>
  </si>
  <si>
    <t>110_25</t>
  </si>
  <si>
    <t>80_18</t>
  </si>
  <si>
    <t>110_26</t>
  </si>
  <si>
    <t>80_19</t>
  </si>
  <si>
    <t>110_27</t>
  </si>
  <si>
    <t>110_28</t>
  </si>
  <si>
    <t>110_29</t>
  </si>
  <si>
    <t>80_28</t>
  </si>
  <si>
    <t>80_23</t>
  </si>
  <si>
    <t>110_30</t>
  </si>
  <si>
    <t>80_26</t>
  </si>
  <si>
    <t>Num.Ins.Solved</t>
  </si>
  <si>
    <t>Avg.MP.Time</t>
  </si>
  <si>
    <t>Avg.Iter</t>
    <phoneticPr fontId="18" type="noConversion"/>
  </si>
  <si>
    <t>——</t>
  </si>
  <si>
    <t>——</t>
    <phoneticPr fontId="18" type="noConversion"/>
  </si>
  <si>
    <t>d</t>
    <phoneticPr fontId="18" type="noConversion"/>
  </si>
  <si>
    <t>Avg.Total.Time</t>
  </si>
  <si>
    <t>Avg.SP.Time</t>
  </si>
  <si>
    <t>&gt;3600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</si>
</sst>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33" borderId="10" xfId="0" applyFill="1" applyBorder="1">
      <alignment vertical="center"/>
    </xf>
    <xf numFmtId="0" fontId="0" fillId="0" borderId="0" xfId="0" applyBorder="1">
      <alignment vertical="center"/>
    </xf>
    <xf numFmtId="0" fontId="0" fillId="33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center"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361"/>
  <sheetViews>
    <sheetView workbookViewId="0">
      <selection activeCell="K1" sqref="K1:K1048576"/>
    </sheetView>
  </sheetViews>
  <sheetFormatPr defaultRowHeight="14" x14ac:dyDescent="0.3"/>
  <cols>
    <col min="3" max="7" width="8.6640625" customWidth="1"/>
  </cols>
  <sheetData>
    <row r="1" spans="1:3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400</v>
      </c>
      <c r="K1" t="s">
        <v>9</v>
      </c>
      <c r="L1" t="s">
        <v>396</v>
      </c>
      <c r="M1" t="s">
        <v>10</v>
      </c>
      <c r="N1" t="s">
        <v>11</v>
      </c>
      <c r="O1" t="s">
        <v>12</v>
      </c>
      <c r="P1" t="s">
        <v>394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395</v>
      </c>
      <c r="Z1" t="s">
        <v>21</v>
      </c>
      <c r="AA1" t="s">
        <v>401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29</v>
      </c>
      <c r="AJ1" t="s">
        <v>30</v>
      </c>
      <c r="AK1" t="s">
        <v>31</v>
      </c>
      <c r="AL1" t="s">
        <v>32</v>
      </c>
      <c r="AM1" t="s">
        <v>33</v>
      </c>
    </row>
    <row r="2" spans="1:39" x14ac:dyDescent="0.3">
      <c r="A2" t="s">
        <v>304</v>
      </c>
      <c r="B2">
        <v>1479.999951</v>
      </c>
      <c r="C2">
        <v>8.2769999999999996E-3</v>
      </c>
      <c r="D2">
        <v>0</v>
      </c>
      <c r="E2">
        <v>21481.999950000001</v>
      </c>
      <c r="F2">
        <v>1479.999951</v>
      </c>
      <c r="G2">
        <v>20002</v>
      </c>
      <c r="H2">
        <v>1479.999951</v>
      </c>
      <c r="I2">
        <v>0.22619500000000003</v>
      </c>
      <c r="J2">
        <v>0.39501626666666667</v>
      </c>
      <c r="K2">
        <v>1</v>
      </c>
      <c r="L2">
        <f>AVERAGE(K2:K31)</f>
        <v>1</v>
      </c>
      <c r="M2">
        <v>21481.999950000001</v>
      </c>
      <c r="N2">
        <v>21481.999950000001</v>
      </c>
      <c r="O2">
        <v>1</v>
      </c>
      <c r="P2">
        <v>30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0.17671600000000001</v>
      </c>
      <c r="Y2">
        <v>0.28801916666666666</v>
      </c>
      <c r="Z2">
        <v>4.1202000000000003E-2</v>
      </c>
      <c r="AA2">
        <v>9.6502466666666675E-2</v>
      </c>
      <c r="AB2">
        <v>1</v>
      </c>
      <c r="AC2">
        <v>9</v>
      </c>
      <c r="AD2">
        <v>0</v>
      </c>
      <c r="AE2">
        <v>1</v>
      </c>
      <c r="AF2">
        <v>0</v>
      </c>
      <c r="AG2">
        <v>9</v>
      </c>
      <c r="AH2">
        <v>0</v>
      </c>
      <c r="AI2">
        <v>1</v>
      </c>
      <c r="AJ2">
        <v>0</v>
      </c>
      <c r="AK2">
        <v>4.0000000000000001E-3</v>
      </c>
      <c r="AL2">
        <v>4</v>
      </c>
      <c r="AM2">
        <v>1E-3</v>
      </c>
    </row>
    <row r="3" spans="1:39" x14ac:dyDescent="0.3">
      <c r="A3" t="s">
        <v>305</v>
      </c>
      <c r="B3">
        <v>1549.999961</v>
      </c>
      <c r="C3">
        <v>1.1483999999999999E-2</v>
      </c>
      <c r="D3">
        <v>0</v>
      </c>
      <c r="E3">
        <v>21550.999960000001</v>
      </c>
      <c r="F3">
        <v>1549.999961</v>
      </c>
      <c r="G3">
        <v>20001</v>
      </c>
      <c r="H3">
        <v>1549.999961</v>
      </c>
      <c r="I3">
        <v>9.2360999999999999E-2</v>
      </c>
      <c r="K3">
        <v>1</v>
      </c>
      <c r="M3">
        <v>21550.999960000001</v>
      </c>
      <c r="N3">
        <v>21550.999960000001</v>
      </c>
      <c r="O3">
        <v>1</v>
      </c>
      <c r="Q3">
        <v>1</v>
      </c>
      <c r="R3">
        <v>1</v>
      </c>
      <c r="S3">
        <v>0</v>
      </c>
      <c r="T3">
        <v>0</v>
      </c>
      <c r="U3">
        <v>0</v>
      </c>
      <c r="V3">
        <v>0</v>
      </c>
      <c r="W3">
        <v>0</v>
      </c>
      <c r="X3">
        <v>1.7807E-2</v>
      </c>
      <c r="Z3">
        <v>6.3070000000000001E-2</v>
      </c>
      <c r="AB3">
        <v>1</v>
      </c>
      <c r="AC3">
        <v>0</v>
      </c>
      <c r="AD3">
        <v>1</v>
      </c>
      <c r="AE3">
        <v>20</v>
      </c>
      <c r="AF3">
        <v>0</v>
      </c>
      <c r="AG3">
        <v>0</v>
      </c>
      <c r="AH3">
        <v>1</v>
      </c>
      <c r="AI3">
        <v>20</v>
      </c>
      <c r="AJ3">
        <v>0</v>
      </c>
      <c r="AK3">
        <v>4.0000000000000001E-3</v>
      </c>
      <c r="AL3">
        <v>3</v>
      </c>
      <c r="AM3">
        <v>1.333E-3</v>
      </c>
    </row>
    <row r="4" spans="1:39" x14ac:dyDescent="0.3">
      <c r="A4" t="s">
        <v>306</v>
      </c>
      <c r="B4">
        <v>1600.000033</v>
      </c>
      <c r="C4">
        <v>1.4697E-2</v>
      </c>
      <c r="D4">
        <v>0</v>
      </c>
      <c r="E4">
        <v>21601.000029999999</v>
      </c>
      <c r="F4">
        <v>1600.000033</v>
      </c>
      <c r="G4">
        <v>20001</v>
      </c>
      <c r="H4">
        <v>1600.000033</v>
      </c>
      <c r="I4">
        <v>0.17199500000000001</v>
      </c>
      <c r="K4">
        <v>1</v>
      </c>
      <c r="M4">
        <v>21601.000029999999</v>
      </c>
      <c r="N4">
        <v>21601.000029999999</v>
      </c>
      <c r="O4">
        <v>1</v>
      </c>
      <c r="Q4">
        <v>1</v>
      </c>
      <c r="R4">
        <v>1</v>
      </c>
      <c r="S4">
        <v>0</v>
      </c>
      <c r="T4">
        <v>0</v>
      </c>
      <c r="U4">
        <v>0</v>
      </c>
      <c r="V4">
        <v>0</v>
      </c>
      <c r="W4">
        <v>0</v>
      </c>
      <c r="X4">
        <v>9.0645000000000003E-2</v>
      </c>
      <c r="Z4">
        <v>6.6653000000000004E-2</v>
      </c>
      <c r="AB4">
        <v>1</v>
      </c>
      <c r="AC4">
        <v>7</v>
      </c>
      <c r="AD4">
        <v>0</v>
      </c>
      <c r="AE4">
        <v>5</v>
      </c>
      <c r="AF4">
        <v>0</v>
      </c>
      <c r="AG4">
        <v>7</v>
      </c>
      <c r="AH4">
        <v>0</v>
      </c>
      <c r="AI4">
        <v>5</v>
      </c>
      <c r="AJ4">
        <v>0</v>
      </c>
      <c r="AK4">
        <v>2E-3</v>
      </c>
      <c r="AL4">
        <v>2</v>
      </c>
      <c r="AM4">
        <v>1E-3</v>
      </c>
    </row>
    <row r="5" spans="1:39" x14ac:dyDescent="0.3">
      <c r="A5" t="s">
        <v>307</v>
      </c>
      <c r="B5">
        <v>1549.999961</v>
      </c>
      <c r="C5">
        <v>1.1318E-2</v>
      </c>
      <c r="D5">
        <v>0</v>
      </c>
      <c r="E5">
        <v>21551.999960000001</v>
      </c>
      <c r="F5">
        <v>1549.999961</v>
      </c>
      <c r="G5">
        <v>20002</v>
      </c>
      <c r="H5">
        <v>1549.999961</v>
      </c>
      <c r="I5">
        <v>0.27325299999999997</v>
      </c>
      <c r="K5">
        <v>1</v>
      </c>
      <c r="M5">
        <v>21551.999960000001</v>
      </c>
      <c r="N5">
        <v>21551.999960000001</v>
      </c>
      <c r="O5">
        <v>1</v>
      </c>
      <c r="Q5">
        <v>1</v>
      </c>
      <c r="R5">
        <v>1</v>
      </c>
      <c r="S5">
        <v>0</v>
      </c>
      <c r="T5">
        <v>0</v>
      </c>
      <c r="U5">
        <v>0</v>
      </c>
      <c r="V5">
        <v>0</v>
      </c>
      <c r="W5">
        <v>0</v>
      </c>
      <c r="X5">
        <v>0.204566</v>
      </c>
      <c r="Z5">
        <v>5.7369000000000003E-2</v>
      </c>
      <c r="AB5">
        <v>1</v>
      </c>
      <c r="AC5">
        <v>1</v>
      </c>
      <c r="AD5">
        <v>0</v>
      </c>
      <c r="AE5">
        <v>9</v>
      </c>
      <c r="AF5">
        <v>0</v>
      </c>
      <c r="AG5">
        <v>1</v>
      </c>
      <c r="AH5">
        <v>0</v>
      </c>
      <c r="AI5">
        <v>9</v>
      </c>
      <c r="AJ5">
        <v>0</v>
      </c>
      <c r="AK5">
        <v>1.4E-2</v>
      </c>
      <c r="AL5">
        <v>2</v>
      </c>
      <c r="AM5">
        <v>7.0000000000000001E-3</v>
      </c>
    </row>
    <row r="6" spans="1:39" x14ac:dyDescent="0.3">
      <c r="A6" t="s">
        <v>308</v>
      </c>
      <c r="B6">
        <v>1529.999922</v>
      </c>
      <c r="C6">
        <v>1.091E-2</v>
      </c>
      <c r="D6">
        <v>0</v>
      </c>
      <c r="E6">
        <v>21531.999919999998</v>
      </c>
      <c r="F6">
        <v>1529.9999110000001</v>
      </c>
      <c r="G6">
        <v>20002</v>
      </c>
      <c r="H6">
        <v>1529.999922</v>
      </c>
      <c r="I6">
        <v>0.32197399999999998</v>
      </c>
      <c r="K6">
        <v>1</v>
      </c>
      <c r="M6">
        <v>21531.999909999999</v>
      </c>
      <c r="N6">
        <v>21531.999919999998</v>
      </c>
      <c r="O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0.25989699999999999</v>
      </c>
      <c r="Z6">
        <v>5.1166999999999997E-2</v>
      </c>
      <c r="AB6">
        <v>1</v>
      </c>
      <c r="AC6">
        <v>1</v>
      </c>
      <c r="AD6">
        <v>0</v>
      </c>
      <c r="AE6">
        <v>8</v>
      </c>
      <c r="AF6">
        <v>0</v>
      </c>
      <c r="AG6">
        <v>1</v>
      </c>
      <c r="AH6">
        <v>0</v>
      </c>
      <c r="AI6">
        <v>8</v>
      </c>
      <c r="AJ6">
        <v>0</v>
      </c>
      <c r="AK6">
        <v>3.0000000000000001E-3</v>
      </c>
      <c r="AL6">
        <v>3</v>
      </c>
      <c r="AM6">
        <v>1E-3</v>
      </c>
    </row>
    <row r="7" spans="1:39" x14ac:dyDescent="0.3">
      <c r="A7" t="s">
        <v>309</v>
      </c>
      <c r="B7">
        <v>1469.9999660000001</v>
      </c>
      <c r="C7">
        <v>1.4302E-2</v>
      </c>
      <c r="D7">
        <v>0</v>
      </c>
      <c r="E7">
        <v>21471.999970000001</v>
      </c>
      <c r="F7">
        <v>1469.9999660000001</v>
      </c>
      <c r="G7">
        <v>20002</v>
      </c>
      <c r="H7">
        <v>1469.9999660000001</v>
      </c>
      <c r="I7">
        <v>0.71464499999999997</v>
      </c>
      <c r="K7">
        <v>1</v>
      </c>
      <c r="M7">
        <v>21471.999970000001</v>
      </c>
      <c r="N7">
        <v>21471.999970000001</v>
      </c>
      <c r="O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0.44686999999999999</v>
      </c>
      <c r="Z7">
        <v>0.253473</v>
      </c>
      <c r="AB7">
        <v>1</v>
      </c>
      <c r="AC7">
        <v>0</v>
      </c>
      <c r="AD7">
        <v>0</v>
      </c>
      <c r="AE7">
        <v>10</v>
      </c>
      <c r="AF7">
        <v>0</v>
      </c>
      <c r="AG7">
        <v>0</v>
      </c>
      <c r="AH7">
        <v>0</v>
      </c>
      <c r="AI7">
        <v>10</v>
      </c>
      <c r="AJ7">
        <v>0</v>
      </c>
      <c r="AK7">
        <v>0.20300000000000001</v>
      </c>
      <c r="AL7">
        <v>2</v>
      </c>
      <c r="AM7">
        <v>0.10150000000000001</v>
      </c>
    </row>
    <row r="8" spans="1:39" x14ac:dyDescent="0.3">
      <c r="A8" t="s">
        <v>310</v>
      </c>
      <c r="B8">
        <v>1630.0000190000001</v>
      </c>
      <c r="C8">
        <v>1.1332999999999999E-2</v>
      </c>
      <c r="D8">
        <v>0</v>
      </c>
      <c r="E8">
        <v>21633.000019999999</v>
      </c>
      <c r="F8">
        <v>1630.0000190000001</v>
      </c>
      <c r="G8">
        <v>20003</v>
      </c>
      <c r="H8">
        <v>1630.0000190000001</v>
      </c>
      <c r="I8">
        <v>0.570106</v>
      </c>
      <c r="K8">
        <v>1</v>
      </c>
      <c r="M8">
        <v>21633.000019999999</v>
      </c>
      <c r="N8">
        <v>21633.000019999999</v>
      </c>
      <c r="O8">
        <v>1</v>
      </c>
      <c r="Q8">
        <v>1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0.50329299999999999</v>
      </c>
      <c r="Z8">
        <v>5.5480000000000002E-2</v>
      </c>
      <c r="AB8">
        <v>1</v>
      </c>
      <c r="AC8">
        <v>7</v>
      </c>
      <c r="AD8">
        <v>0</v>
      </c>
      <c r="AE8">
        <v>5</v>
      </c>
      <c r="AF8">
        <v>0</v>
      </c>
      <c r="AG8">
        <v>7</v>
      </c>
      <c r="AH8">
        <v>0</v>
      </c>
      <c r="AI8">
        <v>5</v>
      </c>
      <c r="AJ8">
        <v>0</v>
      </c>
      <c r="AK8">
        <v>4.0000000000000001E-3</v>
      </c>
      <c r="AL8">
        <v>2</v>
      </c>
      <c r="AM8">
        <v>2E-3</v>
      </c>
    </row>
    <row r="9" spans="1:39" x14ac:dyDescent="0.3">
      <c r="A9" t="s">
        <v>311</v>
      </c>
      <c r="B9">
        <v>1200.0000419999999</v>
      </c>
      <c r="C9">
        <v>9.4830000000000001E-3</v>
      </c>
      <c r="D9">
        <v>0</v>
      </c>
      <c r="E9">
        <v>21203.000039999999</v>
      </c>
      <c r="F9">
        <v>1200.0000419999999</v>
      </c>
      <c r="G9">
        <v>20003</v>
      </c>
      <c r="H9">
        <v>1200.0000419999999</v>
      </c>
      <c r="I9">
        <v>0.75897199999999998</v>
      </c>
      <c r="K9">
        <v>1</v>
      </c>
      <c r="M9">
        <v>21203.000039999999</v>
      </c>
      <c r="N9">
        <v>21203.000039999999</v>
      </c>
      <c r="O9">
        <v>1</v>
      </c>
      <c r="Q9">
        <v>1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0.53760399999999997</v>
      </c>
      <c r="Z9">
        <v>0.21188499999999999</v>
      </c>
      <c r="AB9">
        <v>1</v>
      </c>
      <c r="AC9">
        <v>6</v>
      </c>
      <c r="AD9">
        <v>0</v>
      </c>
      <c r="AE9">
        <v>5</v>
      </c>
      <c r="AF9">
        <v>0</v>
      </c>
      <c r="AG9">
        <v>6</v>
      </c>
      <c r="AH9">
        <v>0</v>
      </c>
      <c r="AI9">
        <v>5</v>
      </c>
      <c r="AJ9">
        <v>0</v>
      </c>
      <c r="AK9">
        <v>4.8000000000000001E-2</v>
      </c>
      <c r="AL9">
        <v>2</v>
      </c>
      <c r="AM9">
        <v>2.4E-2</v>
      </c>
    </row>
    <row r="10" spans="1:39" x14ac:dyDescent="0.3">
      <c r="A10" t="s">
        <v>312</v>
      </c>
      <c r="B10">
        <v>1600.0001010000001</v>
      </c>
      <c r="C10">
        <v>6.842E-3</v>
      </c>
      <c r="D10">
        <v>0</v>
      </c>
      <c r="E10">
        <v>21603.000100000001</v>
      </c>
      <c r="F10">
        <v>1600.0000889999999</v>
      </c>
      <c r="G10">
        <v>20003</v>
      </c>
      <c r="H10">
        <v>1600.0001010000001</v>
      </c>
      <c r="I10">
        <v>0.74790599999999996</v>
      </c>
      <c r="K10">
        <v>1</v>
      </c>
      <c r="M10">
        <v>21603.000090000001</v>
      </c>
      <c r="N10">
        <v>21603.000100000001</v>
      </c>
      <c r="O10">
        <v>1</v>
      </c>
      <c r="Q10">
        <v>1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0.46617599999999998</v>
      </c>
      <c r="Z10">
        <v>0.27488800000000002</v>
      </c>
      <c r="AB10">
        <v>1</v>
      </c>
      <c r="AC10">
        <v>43</v>
      </c>
      <c r="AD10">
        <v>0</v>
      </c>
      <c r="AE10">
        <v>8</v>
      </c>
      <c r="AF10">
        <v>1</v>
      </c>
      <c r="AG10">
        <v>43</v>
      </c>
      <c r="AH10">
        <v>0</v>
      </c>
      <c r="AI10">
        <v>8</v>
      </c>
      <c r="AJ10">
        <v>1</v>
      </c>
      <c r="AK10">
        <v>2.1000000000000001E-2</v>
      </c>
      <c r="AL10">
        <v>4</v>
      </c>
      <c r="AM10">
        <v>5.2500000000000003E-3</v>
      </c>
    </row>
    <row r="11" spans="1:39" x14ac:dyDescent="0.3">
      <c r="A11" t="s">
        <v>313</v>
      </c>
      <c r="B11">
        <v>1520.000008</v>
      </c>
      <c r="C11">
        <v>9.8250000000000004E-3</v>
      </c>
      <c r="D11">
        <v>0</v>
      </c>
      <c r="E11">
        <v>21521.99264</v>
      </c>
      <c r="F11">
        <v>1520.000008</v>
      </c>
      <c r="G11">
        <v>20001.992630000001</v>
      </c>
      <c r="H11">
        <v>1520.000008</v>
      </c>
      <c r="I11">
        <v>0.28990300000000002</v>
      </c>
      <c r="K11">
        <v>1</v>
      </c>
      <c r="M11">
        <v>21521.99264</v>
      </c>
      <c r="N11">
        <v>21521.99264</v>
      </c>
      <c r="O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0.21512500000000001</v>
      </c>
      <c r="Z11">
        <v>6.4952999999999997E-2</v>
      </c>
      <c r="AB11">
        <v>1</v>
      </c>
      <c r="AC11">
        <v>13</v>
      </c>
      <c r="AD11">
        <v>0</v>
      </c>
      <c r="AE11">
        <v>3</v>
      </c>
      <c r="AF11">
        <v>1</v>
      </c>
      <c r="AG11">
        <v>13</v>
      </c>
      <c r="AH11">
        <v>0</v>
      </c>
      <c r="AI11">
        <v>3</v>
      </c>
      <c r="AJ11">
        <v>1</v>
      </c>
      <c r="AK11">
        <v>8.0000000000000002E-3</v>
      </c>
      <c r="AL11">
        <v>3</v>
      </c>
      <c r="AM11">
        <v>2.6670000000000001E-3</v>
      </c>
    </row>
    <row r="12" spans="1:39" x14ac:dyDescent="0.3">
      <c r="A12" t="s">
        <v>314</v>
      </c>
      <c r="B12">
        <v>1469.9999150000001</v>
      </c>
      <c r="C12">
        <v>7.0270000000000003E-3</v>
      </c>
      <c r="D12">
        <v>0</v>
      </c>
      <c r="E12">
        <v>21470.999919999998</v>
      </c>
      <c r="F12">
        <v>1469.9999150000001</v>
      </c>
      <c r="G12">
        <v>20001</v>
      </c>
      <c r="H12">
        <v>1469.9999150000001</v>
      </c>
      <c r="I12">
        <v>0.155751</v>
      </c>
      <c r="K12">
        <v>1</v>
      </c>
      <c r="M12">
        <v>21470.999919999998</v>
      </c>
      <c r="N12">
        <v>21470.999919999998</v>
      </c>
      <c r="O12">
        <v>1</v>
      </c>
      <c r="Q12">
        <v>1</v>
      </c>
      <c r="R12">
        <v>1</v>
      </c>
      <c r="S12">
        <v>0</v>
      </c>
      <c r="T12">
        <v>0</v>
      </c>
      <c r="U12">
        <v>0</v>
      </c>
      <c r="V12">
        <v>0</v>
      </c>
      <c r="W12">
        <v>0</v>
      </c>
      <c r="X12">
        <v>0.10455299999999999</v>
      </c>
      <c r="Z12">
        <v>4.4171000000000002E-2</v>
      </c>
      <c r="AB12">
        <v>1</v>
      </c>
      <c r="AC12">
        <v>0</v>
      </c>
      <c r="AD12">
        <v>0</v>
      </c>
      <c r="AE12">
        <v>8</v>
      </c>
      <c r="AF12">
        <v>0</v>
      </c>
      <c r="AG12">
        <v>0</v>
      </c>
      <c r="AH12">
        <v>0</v>
      </c>
      <c r="AI12">
        <v>8</v>
      </c>
      <c r="AJ12">
        <v>0</v>
      </c>
      <c r="AK12">
        <v>2E-3</v>
      </c>
      <c r="AL12">
        <v>2</v>
      </c>
      <c r="AM12">
        <v>1E-3</v>
      </c>
    </row>
    <row r="13" spans="1:39" x14ac:dyDescent="0.3">
      <c r="A13" t="s">
        <v>315</v>
      </c>
      <c r="B13">
        <v>1490.000063</v>
      </c>
      <c r="C13">
        <v>8.4770000000000002E-3</v>
      </c>
      <c r="D13">
        <v>0</v>
      </c>
      <c r="E13">
        <v>21491.000059999998</v>
      </c>
      <c r="F13">
        <v>1490.000063</v>
      </c>
      <c r="G13">
        <v>20001</v>
      </c>
      <c r="H13">
        <v>1490.000063</v>
      </c>
      <c r="I13">
        <v>0.16811599999999999</v>
      </c>
      <c r="K13">
        <v>1</v>
      </c>
      <c r="M13">
        <v>21491.000059999998</v>
      </c>
      <c r="N13">
        <v>21491.000059999998</v>
      </c>
      <c r="O13">
        <v>1</v>
      </c>
      <c r="Q13">
        <v>1</v>
      </c>
      <c r="R13">
        <v>1</v>
      </c>
      <c r="S13">
        <v>0</v>
      </c>
      <c r="T13">
        <v>0</v>
      </c>
      <c r="U13">
        <v>0</v>
      </c>
      <c r="V13">
        <v>0</v>
      </c>
      <c r="W13">
        <v>0</v>
      </c>
      <c r="X13">
        <v>0.108447</v>
      </c>
      <c r="Z13">
        <v>5.1192000000000001E-2</v>
      </c>
      <c r="AB13">
        <v>1</v>
      </c>
      <c r="AC13">
        <v>9</v>
      </c>
      <c r="AD13">
        <v>0</v>
      </c>
      <c r="AE13">
        <v>4</v>
      </c>
      <c r="AF13">
        <v>0</v>
      </c>
      <c r="AG13">
        <v>9</v>
      </c>
      <c r="AH13">
        <v>0</v>
      </c>
      <c r="AI13">
        <v>4</v>
      </c>
      <c r="AJ13">
        <v>0</v>
      </c>
      <c r="AK13">
        <v>4.0000000000000001E-3</v>
      </c>
      <c r="AL13">
        <v>4</v>
      </c>
      <c r="AM13">
        <v>1E-3</v>
      </c>
    </row>
    <row r="14" spans="1:39" x14ac:dyDescent="0.3">
      <c r="A14" t="s">
        <v>316</v>
      </c>
      <c r="B14">
        <v>1639.9999949999999</v>
      </c>
      <c r="C14">
        <v>9.1229999999999992E-3</v>
      </c>
      <c r="D14">
        <v>0</v>
      </c>
      <c r="E14">
        <v>31642</v>
      </c>
      <c r="F14">
        <v>1639.9999949999999</v>
      </c>
      <c r="G14">
        <v>30002</v>
      </c>
      <c r="H14">
        <v>1639.9999949999999</v>
      </c>
      <c r="I14">
        <v>0.57961000000000007</v>
      </c>
      <c r="K14">
        <v>1</v>
      </c>
      <c r="M14">
        <v>31642</v>
      </c>
      <c r="N14">
        <v>31642</v>
      </c>
      <c r="O14">
        <v>1</v>
      </c>
      <c r="Q14">
        <v>1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0.50799700000000003</v>
      </c>
      <c r="Z14">
        <v>6.2489999999999997E-2</v>
      </c>
      <c r="AB14">
        <v>1</v>
      </c>
      <c r="AC14">
        <v>3</v>
      </c>
      <c r="AD14">
        <v>0</v>
      </c>
      <c r="AE14">
        <v>6</v>
      </c>
      <c r="AF14">
        <v>0</v>
      </c>
      <c r="AG14">
        <v>3</v>
      </c>
      <c r="AH14">
        <v>0</v>
      </c>
      <c r="AI14">
        <v>6</v>
      </c>
      <c r="AJ14">
        <v>0</v>
      </c>
      <c r="AK14">
        <v>4.0000000000000001E-3</v>
      </c>
      <c r="AL14">
        <v>2</v>
      </c>
      <c r="AM14">
        <v>2E-3</v>
      </c>
    </row>
    <row r="15" spans="1:39" x14ac:dyDescent="0.3">
      <c r="A15" t="s">
        <v>317</v>
      </c>
      <c r="B15">
        <v>1479.999951</v>
      </c>
      <c r="C15">
        <v>8.2170000000000003E-3</v>
      </c>
      <c r="D15">
        <v>0</v>
      </c>
      <c r="E15">
        <v>31480.999950000001</v>
      </c>
      <c r="F15">
        <v>1479.999951</v>
      </c>
      <c r="G15">
        <v>30001</v>
      </c>
      <c r="H15">
        <v>1479.999951</v>
      </c>
      <c r="I15">
        <v>0.29300599999999999</v>
      </c>
      <c r="K15">
        <v>1</v>
      </c>
      <c r="M15">
        <v>31480.999950000001</v>
      </c>
      <c r="N15">
        <v>31480.999950000001</v>
      </c>
      <c r="O15">
        <v>1</v>
      </c>
      <c r="Q15">
        <v>1</v>
      </c>
      <c r="R15">
        <v>1</v>
      </c>
      <c r="S15">
        <v>0</v>
      </c>
      <c r="T15">
        <v>0</v>
      </c>
      <c r="U15">
        <v>0</v>
      </c>
      <c r="V15">
        <v>0</v>
      </c>
      <c r="W15">
        <v>0</v>
      </c>
      <c r="X15">
        <v>0.22093099999999999</v>
      </c>
      <c r="Z15">
        <v>6.3857999999999998E-2</v>
      </c>
      <c r="AB15">
        <v>1</v>
      </c>
      <c r="AC15">
        <v>14</v>
      </c>
      <c r="AD15">
        <v>0</v>
      </c>
      <c r="AE15">
        <v>2</v>
      </c>
      <c r="AF15">
        <v>0</v>
      </c>
      <c r="AG15">
        <v>14</v>
      </c>
      <c r="AH15">
        <v>0</v>
      </c>
      <c r="AI15">
        <v>2</v>
      </c>
      <c r="AJ15">
        <v>0</v>
      </c>
      <c r="AK15">
        <v>2E-3</v>
      </c>
      <c r="AL15">
        <v>2</v>
      </c>
      <c r="AM15">
        <v>1E-3</v>
      </c>
    </row>
    <row r="16" spans="1:39" x14ac:dyDescent="0.3">
      <c r="A16" t="s">
        <v>318</v>
      </c>
      <c r="B16">
        <v>1630.0000190000001</v>
      </c>
      <c r="C16">
        <v>1.1952000000000001E-2</v>
      </c>
      <c r="D16">
        <v>0</v>
      </c>
      <c r="E16">
        <v>21633.000019999999</v>
      </c>
      <c r="F16">
        <v>1630.0000170000001</v>
      </c>
      <c r="G16">
        <v>20003</v>
      </c>
      <c r="H16">
        <v>1630.0000190000001</v>
      </c>
      <c r="I16">
        <v>0.42414900000000005</v>
      </c>
      <c r="K16">
        <v>1</v>
      </c>
      <c r="M16">
        <v>21633.000019999999</v>
      </c>
      <c r="N16">
        <v>21633.000019999999</v>
      </c>
      <c r="O16">
        <v>1</v>
      </c>
      <c r="Q16">
        <v>1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0.36199900000000002</v>
      </c>
      <c r="Z16">
        <v>5.0198E-2</v>
      </c>
      <c r="AB16">
        <v>1</v>
      </c>
      <c r="AC16">
        <v>4</v>
      </c>
      <c r="AD16">
        <v>0</v>
      </c>
      <c r="AE16">
        <v>9</v>
      </c>
      <c r="AF16">
        <v>0</v>
      </c>
      <c r="AG16">
        <v>4</v>
      </c>
      <c r="AH16">
        <v>0</v>
      </c>
      <c r="AI16">
        <v>9</v>
      </c>
      <c r="AJ16">
        <v>0</v>
      </c>
      <c r="AK16">
        <v>4.0000000000000001E-3</v>
      </c>
      <c r="AL16">
        <v>3</v>
      </c>
      <c r="AM16">
        <v>1.333E-3</v>
      </c>
    </row>
    <row r="17" spans="1:39" x14ac:dyDescent="0.3">
      <c r="A17" t="s">
        <v>319</v>
      </c>
      <c r="B17">
        <v>1489.9998949999999</v>
      </c>
      <c r="C17">
        <v>7.9170000000000004E-3</v>
      </c>
      <c r="D17">
        <v>0</v>
      </c>
      <c r="E17">
        <v>21490.999899999999</v>
      </c>
      <c r="F17">
        <v>1489.9998949999999</v>
      </c>
      <c r="G17">
        <v>20001</v>
      </c>
      <c r="H17">
        <v>1489.9998949999999</v>
      </c>
      <c r="I17">
        <v>0.34842400000000001</v>
      </c>
      <c r="K17">
        <v>1</v>
      </c>
      <c r="M17">
        <v>21490.999899999999</v>
      </c>
      <c r="N17">
        <v>21490.999899999999</v>
      </c>
      <c r="O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0.298794</v>
      </c>
      <c r="Z17">
        <v>4.1713E-2</v>
      </c>
      <c r="AB17">
        <v>1</v>
      </c>
      <c r="AC17">
        <v>2</v>
      </c>
      <c r="AD17">
        <v>1</v>
      </c>
      <c r="AE17">
        <v>2</v>
      </c>
      <c r="AF17">
        <v>0</v>
      </c>
      <c r="AG17">
        <v>2</v>
      </c>
      <c r="AH17">
        <v>1</v>
      </c>
      <c r="AI17">
        <v>2</v>
      </c>
      <c r="AJ17">
        <v>0</v>
      </c>
      <c r="AK17">
        <v>4.0000000000000001E-3</v>
      </c>
      <c r="AL17">
        <v>3</v>
      </c>
      <c r="AM17">
        <v>1.333E-3</v>
      </c>
    </row>
    <row r="18" spans="1:39" x14ac:dyDescent="0.3">
      <c r="A18" t="s">
        <v>320</v>
      </c>
      <c r="B18">
        <v>1560.000014</v>
      </c>
      <c r="C18">
        <v>1.6088999999999999E-2</v>
      </c>
      <c r="D18">
        <v>0</v>
      </c>
      <c r="E18">
        <v>21562.00001</v>
      </c>
      <c r="F18">
        <v>1560.000014</v>
      </c>
      <c r="G18">
        <v>20002</v>
      </c>
      <c r="H18">
        <v>1560.000014</v>
      </c>
      <c r="I18">
        <v>0.40885200000000005</v>
      </c>
      <c r="K18">
        <v>1</v>
      </c>
      <c r="M18">
        <v>21562.00001</v>
      </c>
      <c r="N18">
        <v>21562.00001</v>
      </c>
      <c r="O18">
        <v>1</v>
      </c>
      <c r="Q18">
        <v>1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>
        <v>0.34331800000000001</v>
      </c>
      <c r="Z18">
        <v>4.9445000000000003E-2</v>
      </c>
      <c r="AB18">
        <v>1</v>
      </c>
      <c r="AC18">
        <v>2</v>
      </c>
      <c r="AD18">
        <v>0</v>
      </c>
      <c r="AE18">
        <v>14</v>
      </c>
      <c r="AF18">
        <v>0</v>
      </c>
      <c r="AG18">
        <v>2</v>
      </c>
      <c r="AH18">
        <v>0</v>
      </c>
      <c r="AI18">
        <v>14</v>
      </c>
      <c r="AJ18">
        <v>0</v>
      </c>
      <c r="AK18">
        <v>2E-3</v>
      </c>
      <c r="AL18">
        <v>1</v>
      </c>
      <c r="AM18">
        <v>2E-3</v>
      </c>
    </row>
    <row r="19" spans="1:39" x14ac:dyDescent="0.3">
      <c r="A19" t="s">
        <v>321</v>
      </c>
      <c r="B19">
        <v>1609.999961</v>
      </c>
      <c r="C19">
        <v>1.1597E-2</v>
      </c>
      <c r="D19">
        <v>0</v>
      </c>
      <c r="E19">
        <v>21610.999960000001</v>
      </c>
      <c r="F19">
        <v>1609.999961</v>
      </c>
      <c r="G19">
        <v>20001</v>
      </c>
      <c r="H19">
        <v>1609.999961</v>
      </c>
      <c r="I19">
        <v>0.21788800000000003</v>
      </c>
      <c r="K19">
        <v>1</v>
      </c>
      <c r="M19">
        <v>21610.999960000001</v>
      </c>
      <c r="N19">
        <v>21610.999960000001</v>
      </c>
      <c r="O19">
        <v>1</v>
      </c>
      <c r="Q19">
        <v>1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0.13877500000000001</v>
      </c>
      <c r="Z19">
        <v>6.7516000000000007E-2</v>
      </c>
      <c r="AB19">
        <v>1</v>
      </c>
      <c r="AC19">
        <v>4</v>
      </c>
      <c r="AD19">
        <v>1</v>
      </c>
      <c r="AE19">
        <v>22</v>
      </c>
      <c r="AF19">
        <v>1</v>
      </c>
      <c r="AG19">
        <v>4</v>
      </c>
      <c r="AH19">
        <v>1</v>
      </c>
      <c r="AI19">
        <v>22</v>
      </c>
      <c r="AJ19">
        <v>1</v>
      </c>
      <c r="AK19">
        <v>7.0000000000000001E-3</v>
      </c>
      <c r="AL19">
        <v>2</v>
      </c>
      <c r="AM19">
        <v>3.5000000000000001E-3</v>
      </c>
    </row>
    <row r="20" spans="1:39" x14ac:dyDescent="0.3">
      <c r="A20" t="s">
        <v>322</v>
      </c>
      <c r="B20">
        <v>1609.999961</v>
      </c>
      <c r="C20">
        <v>1.0704999999999999E-2</v>
      </c>
      <c r="D20">
        <v>0</v>
      </c>
      <c r="E20">
        <v>21611.999960000001</v>
      </c>
      <c r="F20">
        <v>1609.999961</v>
      </c>
      <c r="G20">
        <v>20002</v>
      </c>
      <c r="H20">
        <v>1609.999961</v>
      </c>
      <c r="I20">
        <v>0.57245400000000002</v>
      </c>
      <c r="K20">
        <v>1</v>
      </c>
      <c r="M20">
        <v>21611.999960000001</v>
      </c>
      <c r="N20">
        <v>21611.999960000001</v>
      </c>
      <c r="O20">
        <v>1</v>
      </c>
      <c r="Q20">
        <v>1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0.25148999999999999</v>
      </c>
      <c r="Z20">
        <v>0.31025900000000001</v>
      </c>
      <c r="AB20">
        <v>1</v>
      </c>
      <c r="AC20">
        <v>19</v>
      </c>
      <c r="AD20">
        <v>0</v>
      </c>
      <c r="AE20">
        <v>16</v>
      </c>
      <c r="AF20">
        <v>0</v>
      </c>
      <c r="AG20">
        <v>19</v>
      </c>
      <c r="AH20">
        <v>0</v>
      </c>
      <c r="AI20">
        <v>16</v>
      </c>
      <c r="AJ20">
        <v>0</v>
      </c>
      <c r="AK20">
        <v>1.9E-2</v>
      </c>
      <c r="AL20">
        <v>4</v>
      </c>
      <c r="AM20">
        <v>4.7499999999999999E-3</v>
      </c>
    </row>
    <row r="21" spans="1:39" x14ac:dyDescent="0.3">
      <c r="A21" t="s">
        <v>323</v>
      </c>
      <c r="B21">
        <v>1470.0000439999999</v>
      </c>
      <c r="C21">
        <v>1.1106E-2</v>
      </c>
      <c r="D21">
        <v>0</v>
      </c>
      <c r="E21">
        <v>21473.000039999999</v>
      </c>
      <c r="F21">
        <v>1470.0000439999999</v>
      </c>
      <c r="G21">
        <v>20003</v>
      </c>
      <c r="H21">
        <v>1470.0000439999999</v>
      </c>
      <c r="I21">
        <v>0.36886599999999997</v>
      </c>
      <c r="K21">
        <v>1</v>
      </c>
      <c r="M21">
        <v>21473.000039999999</v>
      </c>
      <c r="N21">
        <v>21473.000039999999</v>
      </c>
      <c r="O21">
        <v>1</v>
      </c>
      <c r="Q21">
        <v>1</v>
      </c>
      <c r="R21">
        <v>1</v>
      </c>
      <c r="S21">
        <v>0</v>
      </c>
      <c r="T21">
        <v>0</v>
      </c>
      <c r="U21">
        <v>0</v>
      </c>
      <c r="V21">
        <v>0</v>
      </c>
      <c r="W21">
        <v>0</v>
      </c>
      <c r="X21">
        <v>0.30051699999999998</v>
      </c>
      <c r="Z21">
        <v>5.7243000000000002E-2</v>
      </c>
      <c r="AB21">
        <v>1</v>
      </c>
      <c r="AC21">
        <v>3</v>
      </c>
      <c r="AD21">
        <v>0</v>
      </c>
      <c r="AE21">
        <v>1</v>
      </c>
      <c r="AF21">
        <v>0</v>
      </c>
      <c r="AG21">
        <v>3</v>
      </c>
      <c r="AH21">
        <v>0</v>
      </c>
      <c r="AI21">
        <v>1</v>
      </c>
      <c r="AJ21">
        <v>0</v>
      </c>
      <c r="AK21">
        <v>4.0000000000000001E-3</v>
      </c>
      <c r="AL21">
        <v>4</v>
      </c>
      <c r="AM21">
        <v>1E-3</v>
      </c>
    </row>
    <row r="22" spans="1:39" x14ac:dyDescent="0.3">
      <c r="A22" t="s">
        <v>324</v>
      </c>
      <c r="B22">
        <v>1479.999898</v>
      </c>
      <c r="C22">
        <v>9.2440000000000005E-3</v>
      </c>
      <c r="D22">
        <v>0</v>
      </c>
      <c r="E22">
        <v>21480.999899999999</v>
      </c>
      <c r="F22">
        <v>1479.999898</v>
      </c>
      <c r="G22">
        <v>20001</v>
      </c>
      <c r="H22">
        <v>1479.999898</v>
      </c>
      <c r="I22">
        <v>0.24682199999999999</v>
      </c>
      <c r="K22">
        <v>1</v>
      </c>
      <c r="M22">
        <v>21480.999899999999</v>
      </c>
      <c r="N22">
        <v>21480.999899999999</v>
      </c>
      <c r="O22">
        <v>1</v>
      </c>
      <c r="Q22">
        <v>1</v>
      </c>
      <c r="R22">
        <v>1</v>
      </c>
      <c r="S22">
        <v>0</v>
      </c>
      <c r="T22">
        <v>0</v>
      </c>
      <c r="U22">
        <v>0</v>
      </c>
      <c r="V22">
        <v>0</v>
      </c>
      <c r="W22">
        <v>0</v>
      </c>
      <c r="X22">
        <v>0.192663</v>
      </c>
      <c r="Z22">
        <v>4.4914999999999997E-2</v>
      </c>
      <c r="AB22">
        <v>1</v>
      </c>
      <c r="AC22">
        <v>0</v>
      </c>
      <c r="AD22">
        <v>2</v>
      </c>
      <c r="AE22">
        <v>0</v>
      </c>
      <c r="AF22">
        <v>0</v>
      </c>
      <c r="AG22">
        <v>0</v>
      </c>
      <c r="AH22">
        <v>2</v>
      </c>
      <c r="AI22">
        <v>0</v>
      </c>
      <c r="AJ22">
        <v>0</v>
      </c>
      <c r="AK22">
        <v>4.0000000000000001E-3</v>
      </c>
      <c r="AL22">
        <v>2</v>
      </c>
      <c r="AM22">
        <v>2E-3</v>
      </c>
    </row>
    <row r="23" spans="1:39" x14ac:dyDescent="0.3">
      <c r="A23" t="s">
        <v>325</v>
      </c>
      <c r="B23">
        <v>1490.000063</v>
      </c>
      <c r="C23">
        <v>9.3729999999999994E-3</v>
      </c>
      <c r="D23">
        <v>0</v>
      </c>
      <c r="E23">
        <v>31491.000059999998</v>
      </c>
      <c r="F23">
        <v>1490.000063</v>
      </c>
      <c r="G23">
        <v>30001</v>
      </c>
      <c r="H23">
        <v>1490.000063</v>
      </c>
      <c r="I23">
        <v>0.48499000000000003</v>
      </c>
      <c r="K23">
        <v>1</v>
      </c>
      <c r="M23">
        <v>31491.000059999998</v>
      </c>
      <c r="N23">
        <v>31491.000059999998</v>
      </c>
      <c r="O23">
        <v>1</v>
      </c>
      <c r="Q23">
        <v>1</v>
      </c>
      <c r="R23">
        <v>1</v>
      </c>
      <c r="S23">
        <v>0</v>
      </c>
      <c r="T23">
        <v>0</v>
      </c>
      <c r="U23">
        <v>0</v>
      </c>
      <c r="V23">
        <v>0</v>
      </c>
      <c r="W23">
        <v>0</v>
      </c>
      <c r="X23">
        <v>0.359574</v>
      </c>
      <c r="Z23">
        <v>0.11604299999999999</v>
      </c>
      <c r="AB23">
        <v>1</v>
      </c>
      <c r="AC23">
        <v>0</v>
      </c>
      <c r="AD23">
        <v>2</v>
      </c>
      <c r="AE23">
        <v>3</v>
      </c>
      <c r="AF23">
        <v>0</v>
      </c>
      <c r="AG23">
        <v>0</v>
      </c>
      <c r="AH23">
        <v>2</v>
      </c>
      <c r="AI23">
        <v>3</v>
      </c>
      <c r="AJ23">
        <v>0</v>
      </c>
      <c r="AK23">
        <v>1.6E-2</v>
      </c>
      <c r="AL23">
        <v>3</v>
      </c>
      <c r="AM23">
        <v>5.3330000000000001E-3</v>
      </c>
    </row>
    <row r="24" spans="1:39" x14ac:dyDescent="0.3">
      <c r="A24" t="s">
        <v>326</v>
      </c>
      <c r="B24">
        <v>1520.0000379999999</v>
      </c>
      <c r="C24">
        <v>9.6790000000000001E-3</v>
      </c>
      <c r="D24">
        <v>0</v>
      </c>
      <c r="E24">
        <v>21522.000039999999</v>
      </c>
      <c r="F24">
        <v>1520.0000379999999</v>
      </c>
      <c r="G24">
        <v>20002</v>
      </c>
      <c r="H24">
        <v>1520.0000379999999</v>
      </c>
      <c r="I24">
        <v>0.48251900000000003</v>
      </c>
      <c r="K24">
        <v>1</v>
      </c>
      <c r="M24">
        <v>21522.000039999999</v>
      </c>
      <c r="N24">
        <v>21522.000039999999</v>
      </c>
      <c r="O24">
        <v>1</v>
      </c>
      <c r="Q24">
        <v>1</v>
      </c>
      <c r="R24">
        <v>1</v>
      </c>
      <c r="S24">
        <v>0</v>
      </c>
      <c r="T24">
        <v>0</v>
      </c>
      <c r="U24">
        <v>0</v>
      </c>
      <c r="V24">
        <v>0</v>
      </c>
      <c r="W24">
        <v>0</v>
      </c>
      <c r="X24">
        <v>0.24602199999999999</v>
      </c>
      <c r="Z24">
        <v>0.22681799999999999</v>
      </c>
      <c r="AB24">
        <v>1</v>
      </c>
      <c r="AC24">
        <v>6</v>
      </c>
      <c r="AD24">
        <v>1</v>
      </c>
      <c r="AE24">
        <v>16</v>
      </c>
      <c r="AF24">
        <v>0</v>
      </c>
      <c r="AG24">
        <v>6</v>
      </c>
      <c r="AH24">
        <v>1</v>
      </c>
      <c r="AI24">
        <v>16</v>
      </c>
      <c r="AJ24">
        <v>0</v>
      </c>
      <c r="AK24">
        <v>6.3E-2</v>
      </c>
      <c r="AL24">
        <v>3</v>
      </c>
      <c r="AM24">
        <v>2.1000000000000001E-2</v>
      </c>
    </row>
    <row r="25" spans="1:39" x14ac:dyDescent="0.3">
      <c r="A25" t="s">
        <v>327</v>
      </c>
      <c r="B25">
        <v>1569.999965</v>
      </c>
      <c r="C25">
        <v>8.9750000000000003E-3</v>
      </c>
      <c r="D25">
        <v>0</v>
      </c>
      <c r="E25">
        <v>31570.999970000001</v>
      </c>
      <c r="F25">
        <v>1569.999941</v>
      </c>
      <c r="G25">
        <v>30001</v>
      </c>
      <c r="H25">
        <v>1569.999965</v>
      </c>
      <c r="I25">
        <v>0.79681599999999997</v>
      </c>
      <c r="K25">
        <v>1</v>
      </c>
      <c r="M25">
        <v>31570.999940000002</v>
      </c>
      <c r="N25">
        <v>31570.999970000001</v>
      </c>
      <c r="O25">
        <v>1</v>
      </c>
      <c r="Q25">
        <v>1</v>
      </c>
      <c r="R25">
        <v>1</v>
      </c>
      <c r="S25">
        <v>0</v>
      </c>
      <c r="T25">
        <v>0</v>
      </c>
      <c r="U25">
        <v>0</v>
      </c>
      <c r="V25">
        <v>0</v>
      </c>
      <c r="W25">
        <v>0</v>
      </c>
      <c r="X25">
        <v>0.57537700000000003</v>
      </c>
      <c r="Z25">
        <v>0.21246399999999999</v>
      </c>
      <c r="AB25">
        <v>1</v>
      </c>
      <c r="AC25">
        <v>16</v>
      </c>
      <c r="AD25">
        <v>0</v>
      </c>
      <c r="AE25">
        <v>15</v>
      </c>
      <c r="AF25">
        <v>0</v>
      </c>
      <c r="AG25">
        <v>16</v>
      </c>
      <c r="AH25">
        <v>0</v>
      </c>
      <c r="AI25">
        <v>15</v>
      </c>
      <c r="AJ25">
        <v>0</v>
      </c>
      <c r="AK25">
        <v>1.7999999999999999E-2</v>
      </c>
      <c r="AL25">
        <v>3</v>
      </c>
      <c r="AM25">
        <v>6.0000000000000001E-3</v>
      </c>
    </row>
    <row r="26" spans="1:39" x14ac:dyDescent="0.3">
      <c r="A26" t="s">
        <v>328</v>
      </c>
      <c r="B26">
        <v>1490.000063</v>
      </c>
      <c r="C26">
        <v>1.4422000000000001E-2</v>
      </c>
      <c r="D26">
        <v>0</v>
      </c>
      <c r="E26">
        <v>21493.000059999998</v>
      </c>
      <c r="F26">
        <v>1490.000063</v>
      </c>
      <c r="G26">
        <v>20003</v>
      </c>
      <c r="H26">
        <v>1490.000063</v>
      </c>
      <c r="I26">
        <v>0.757019</v>
      </c>
      <c r="K26">
        <v>1</v>
      </c>
      <c r="M26">
        <v>21493.000059999998</v>
      </c>
      <c r="N26">
        <v>21493.000059999998</v>
      </c>
      <c r="O26">
        <v>1</v>
      </c>
      <c r="Q26">
        <v>1</v>
      </c>
      <c r="R26">
        <v>1</v>
      </c>
      <c r="S26">
        <v>0</v>
      </c>
      <c r="T26">
        <v>0</v>
      </c>
      <c r="U26">
        <v>0</v>
      </c>
      <c r="V26">
        <v>0</v>
      </c>
      <c r="W26">
        <v>0</v>
      </c>
      <c r="X26">
        <v>0.68609799999999999</v>
      </c>
      <c r="Z26">
        <v>5.6499000000000001E-2</v>
      </c>
      <c r="AB26">
        <v>1</v>
      </c>
      <c r="AC26">
        <v>4</v>
      </c>
      <c r="AD26">
        <v>1</v>
      </c>
      <c r="AE26">
        <v>1</v>
      </c>
      <c r="AF26">
        <v>0</v>
      </c>
      <c r="AG26">
        <v>4</v>
      </c>
      <c r="AH26">
        <v>1</v>
      </c>
      <c r="AI26">
        <v>1</v>
      </c>
      <c r="AJ26">
        <v>0</v>
      </c>
      <c r="AK26">
        <v>2E-3</v>
      </c>
      <c r="AL26">
        <v>2</v>
      </c>
      <c r="AM26">
        <v>1E-3</v>
      </c>
    </row>
    <row r="27" spans="1:39" x14ac:dyDescent="0.3">
      <c r="A27" t="s">
        <v>329</v>
      </c>
      <c r="B27">
        <v>1600.0001010000001</v>
      </c>
      <c r="C27">
        <v>9.3200000000000002E-3</v>
      </c>
      <c r="D27">
        <v>0</v>
      </c>
      <c r="E27">
        <v>21601.000100000001</v>
      </c>
      <c r="F27">
        <v>1600.0001010000001</v>
      </c>
      <c r="G27">
        <v>20001</v>
      </c>
      <c r="H27">
        <v>1600.0001010000001</v>
      </c>
      <c r="I27">
        <v>7.5268000000000002E-2</v>
      </c>
      <c r="K27">
        <v>1</v>
      </c>
      <c r="M27">
        <v>21601.000100000001</v>
      </c>
      <c r="N27">
        <v>21601.000100000001</v>
      </c>
      <c r="O27">
        <v>1</v>
      </c>
      <c r="Q27">
        <v>1</v>
      </c>
      <c r="R27">
        <v>1</v>
      </c>
      <c r="S27">
        <v>0</v>
      </c>
      <c r="T27">
        <v>0</v>
      </c>
      <c r="U27">
        <v>0</v>
      </c>
      <c r="V27">
        <v>0</v>
      </c>
      <c r="W27">
        <v>0</v>
      </c>
      <c r="X27">
        <v>1.8484E-2</v>
      </c>
      <c r="Z27">
        <v>4.7463999999999999E-2</v>
      </c>
      <c r="AB27">
        <v>1</v>
      </c>
      <c r="AC27">
        <v>2</v>
      </c>
      <c r="AD27">
        <v>0</v>
      </c>
      <c r="AE27">
        <v>3</v>
      </c>
      <c r="AF27">
        <v>0</v>
      </c>
      <c r="AG27">
        <v>2</v>
      </c>
      <c r="AH27">
        <v>0</v>
      </c>
      <c r="AI27">
        <v>3</v>
      </c>
      <c r="AJ27">
        <v>0</v>
      </c>
      <c r="AK27">
        <v>2E-3</v>
      </c>
      <c r="AL27">
        <v>2</v>
      </c>
      <c r="AM27">
        <v>1E-3</v>
      </c>
    </row>
    <row r="28" spans="1:39" x14ac:dyDescent="0.3">
      <c r="A28" t="s">
        <v>330</v>
      </c>
      <c r="B28">
        <v>1630.0000190000001</v>
      </c>
      <c r="C28">
        <v>1.2298999999999999E-2</v>
      </c>
      <c r="D28">
        <v>0</v>
      </c>
      <c r="E28">
        <v>21631.000019999999</v>
      </c>
      <c r="F28">
        <v>1630.0000190000001</v>
      </c>
      <c r="G28">
        <v>20001</v>
      </c>
      <c r="H28">
        <v>1630.0000190000001</v>
      </c>
      <c r="I28">
        <v>0.216756</v>
      </c>
      <c r="K28">
        <v>1</v>
      </c>
      <c r="M28">
        <v>21631.000019999999</v>
      </c>
      <c r="N28">
        <v>21631.000019999999</v>
      </c>
      <c r="O28">
        <v>1</v>
      </c>
      <c r="Q28">
        <v>1</v>
      </c>
      <c r="R28">
        <v>1</v>
      </c>
      <c r="S28">
        <v>0</v>
      </c>
      <c r="T28">
        <v>0</v>
      </c>
      <c r="U28">
        <v>0</v>
      </c>
      <c r="V28">
        <v>0</v>
      </c>
      <c r="W28">
        <v>0</v>
      </c>
      <c r="X28">
        <v>0.152618</v>
      </c>
      <c r="Z28">
        <v>5.1839000000000003E-2</v>
      </c>
      <c r="AB28">
        <v>1</v>
      </c>
      <c r="AC28">
        <v>3</v>
      </c>
      <c r="AD28">
        <v>0</v>
      </c>
      <c r="AE28">
        <v>0</v>
      </c>
      <c r="AF28">
        <v>0</v>
      </c>
      <c r="AG28">
        <v>3</v>
      </c>
      <c r="AH28">
        <v>0</v>
      </c>
      <c r="AI28">
        <v>0</v>
      </c>
      <c r="AJ28">
        <v>0</v>
      </c>
      <c r="AK28">
        <v>3.0000000000000001E-3</v>
      </c>
      <c r="AL28">
        <v>3</v>
      </c>
      <c r="AM28">
        <v>1E-3</v>
      </c>
    </row>
    <row r="29" spans="1:39" x14ac:dyDescent="0.3">
      <c r="A29" t="s">
        <v>331</v>
      </c>
      <c r="B29">
        <v>1490.00001</v>
      </c>
      <c r="C29">
        <v>1.0073E-2</v>
      </c>
      <c r="D29">
        <v>0</v>
      </c>
      <c r="E29">
        <v>21492.00001</v>
      </c>
      <c r="F29">
        <v>1490.00001</v>
      </c>
      <c r="G29">
        <v>20002</v>
      </c>
      <c r="H29">
        <v>1490.00001</v>
      </c>
      <c r="I29">
        <v>0.30195</v>
      </c>
      <c r="K29">
        <v>1</v>
      </c>
      <c r="M29">
        <v>21492.00001</v>
      </c>
      <c r="N29">
        <v>21492.00001</v>
      </c>
      <c r="O29">
        <v>1</v>
      </c>
      <c r="Q29">
        <v>1</v>
      </c>
      <c r="R29">
        <v>1</v>
      </c>
      <c r="S29">
        <v>0</v>
      </c>
      <c r="T29">
        <v>0</v>
      </c>
      <c r="U29">
        <v>0</v>
      </c>
      <c r="V29">
        <v>0</v>
      </c>
      <c r="W29">
        <v>0</v>
      </c>
      <c r="X29">
        <v>0.233346</v>
      </c>
      <c r="Z29">
        <v>5.8531E-2</v>
      </c>
      <c r="AB29">
        <v>1</v>
      </c>
      <c r="AC29">
        <v>0</v>
      </c>
      <c r="AD29">
        <v>0</v>
      </c>
      <c r="AE29">
        <v>2</v>
      </c>
      <c r="AF29">
        <v>0</v>
      </c>
      <c r="AG29">
        <v>0</v>
      </c>
      <c r="AH29">
        <v>0</v>
      </c>
      <c r="AI29">
        <v>2</v>
      </c>
      <c r="AJ29">
        <v>0</v>
      </c>
      <c r="AK29">
        <v>5.0000000000000001E-3</v>
      </c>
      <c r="AL29">
        <v>4</v>
      </c>
      <c r="AM29">
        <v>1.25E-3</v>
      </c>
    </row>
    <row r="30" spans="1:39" x14ac:dyDescent="0.3">
      <c r="A30" t="s">
        <v>332</v>
      </c>
      <c r="B30">
        <v>1479.9999270000001</v>
      </c>
      <c r="C30">
        <v>1.0406E-2</v>
      </c>
      <c r="D30">
        <v>0</v>
      </c>
      <c r="E30">
        <v>21481.999930000002</v>
      </c>
      <c r="F30">
        <v>1479.999922</v>
      </c>
      <c r="G30">
        <v>20002</v>
      </c>
      <c r="H30">
        <v>1479.9999270000001</v>
      </c>
      <c r="I30">
        <v>0.36592000000000002</v>
      </c>
      <c r="K30">
        <v>1</v>
      </c>
      <c r="M30">
        <v>21481.999919999998</v>
      </c>
      <c r="N30">
        <v>21481.999930000002</v>
      </c>
      <c r="O30">
        <v>1</v>
      </c>
      <c r="Q30">
        <v>1</v>
      </c>
      <c r="R30">
        <v>1</v>
      </c>
      <c r="S30">
        <v>0</v>
      </c>
      <c r="T30">
        <v>0</v>
      </c>
      <c r="U30">
        <v>0</v>
      </c>
      <c r="V30">
        <v>0</v>
      </c>
      <c r="W30">
        <v>0</v>
      </c>
      <c r="X30">
        <v>0.28399600000000003</v>
      </c>
      <c r="Z30">
        <v>7.1517999999999998E-2</v>
      </c>
      <c r="AB30">
        <v>1</v>
      </c>
      <c r="AC30">
        <v>10</v>
      </c>
      <c r="AD30">
        <v>0</v>
      </c>
      <c r="AE30">
        <v>7</v>
      </c>
      <c r="AF30">
        <v>0</v>
      </c>
      <c r="AG30">
        <v>10</v>
      </c>
      <c r="AH30">
        <v>0</v>
      </c>
      <c r="AI30">
        <v>7</v>
      </c>
      <c r="AJ30">
        <v>0</v>
      </c>
      <c r="AK30">
        <v>1.4999999999999999E-2</v>
      </c>
      <c r="AL30">
        <v>3</v>
      </c>
      <c r="AM30">
        <v>5.0000000000000001E-3</v>
      </c>
    </row>
    <row r="31" spans="1:39" s="1" customFormat="1" x14ac:dyDescent="0.3">
      <c r="A31" s="1" t="s">
        <v>333</v>
      </c>
      <c r="B31" s="1">
        <v>1479.9999270000001</v>
      </c>
      <c r="C31" s="1">
        <v>1.0366999999999999E-2</v>
      </c>
      <c r="D31" s="1">
        <v>0</v>
      </c>
      <c r="E31" s="1">
        <v>21482.999930000002</v>
      </c>
      <c r="F31" s="1">
        <v>1479.9999270000001</v>
      </c>
      <c r="G31" s="1">
        <v>20003</v>
      </c>
      <c r="H31" s="1">
        <v>1479.9999270000001</v>
      </c>
      <c r="I31" s="1">
        <v>0.41800199999999998</v>
      </c>
      <c r="K31" s="1">
        <v>1</v>
      </c>
      <c r="M31" s="1">
        <v>21482.999930000002</v>
      </c>
      <c r="N31" s="1">
        <v>21482.999930000002</v>
      </c>
      <c r="O31" s="1">
        <v>1</v>
      </c>
      <c r="Q31" s="1">
        <v>1</v>
      </c>
      <c r="R31" s="1">
        <v>1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0.33687699999999998</v>
      </c>
      <c r="Z31" s="1">
        <v>7.0758000000000001E-2</v>
      </c>
      <c r="AB31" s="1">
        <v>1</v>
      </c>
      <c r="AC31" s="1">
        <v>8</v>
      </c>
      <c r="AD31" s="1">
        <v>1</v>
      </c>
      <c r="AE31" s="1">
        <v>5</v>
      </c>
      <c r="AF31" s="1">
        <v>0</v>
      </c>
      <c r="AG31" s="1">
        <v>8</v>
      </c>
      <c r="AH31" s="1">
        <v>1</v>
      </c>
      <c r="AI31" s="1">
        <v>5</v>
      </c>
      <c r="AJ31" s="1">
        <v>0</v>
      </c>
      <c r="AK31" s="1">
        <v>1.4999999999999999E-2</v>
      </c>
      <c r="AL31" s="1">
        <v>3</v>
      </c>
      <c r="AM31" s="1">
        <v>5.0000000000000001E-3</v>
      </c>
    </row>
    <row r="32" spans="1:39" x14ac:dyDescent="0.3">
      <c r="A32" t="s">
        <v>34</v>
      </c>
      <c r="B32">
        <v>3019.9997720000001</v>
      </c>
      <c r="C32">
        <v>1.8142999999999999E-2</v>
      </c>
      <c r="D32">
        <v>0</v>
      </c>
      <c r="E32">
        <v>43020.999770000002</v>
      </c>
      <c r="F32">
        <v>3019.9997720000001</v>
      </c>
      <c r="G32">
        <v>40001</v>
      </c>
      <c r="H32">
        <v>3019.9997720000001</v>
      </c>
      <c r="I32">
        <v>3.0140039999999999</v>
      </c>
      <c r="J32">
        <v>4.9711645999999989</v>
      </c>
      <c r="K32">
        <v>1</v>
      </c>
      <c r="L32">
        <f>AVERAGE(K32:K61)</f>
        <v>1.0666666666666667</v>
      </c>
      <c r="M32">
        <v>43020.999770000002</v>
      </c>
      <c r="N32">
        <v>43020.999770000002</v>
      </c>
      <c r="O32">
        <v>1</v>
      </c>
      <c r="P32">
        <v>30</v>
      </c>
      <c r="Q32">
        <v>1</v>
      </c>
      <c r="R32">
        <v>1</v>
      </c>
      <c r="S32">
        <v>0</v>
      </c>
      <c r="T32">
        <v>0</v>
      </c>
      <c r="U32">
        <v>0</v>
      </c>
      <c r="V32">
        <v>0</v>
      </c>
      <c r="W32">
        <v>0</v>
      </c>
      <c r="X32">
        <v>2.6621130000000002</v>
      </c>
      <c r="Y32">
        <v>4.011529366666668</v>
      </c>
      <c r="Z32">
        <v>0.33374799999999999</v>
      </c>
      <c r="AA32">
        <v>0.93951506666666651</v>
      </c>
      <c r="AB32">
        <v>1</v>
      </c>
      <c r="AC32">
        <v>32</v>
      </c>
      <c r="AD32">
        <v>1</v>
      </c>
      <c r="AE32">
        <v>4</v>
      </c>
      <c r="AF32">
        <v>0</v>
      </c>
      <c r="AG32">
        <v>32</v>
      </c>
      <c r="AH32">
        <v>1</v>
      </c>
      <c r="AI32">
        <v>4</v>
      </c>
      <c r="AJ32">
        <v>0</v>
      </c>
      <c r="AK32">
        <v>0.03</v>
      </c>
      <c r="AL32">
        <v>1</v>
      </c>
      <c r="AM32">
        <v>0.03</v>
      </c>
    </row>
    <row r="33" spans="1:39" x14ac:dyDescent="0.3">
      <c r="A33" t="s">
        <v>35</v>
      </c>
      <c r="B33">
        <v>2999.9998270000001</v>
      </c>
      <c r="C33">
        <v>1.7260000000000001E-2</v>
      </c>
      <c r="D33">
        <v>0</v>
      </c>
      <c r="E33">
        <v>43001.999830000001</v>
      </c>
      <c r="F33">
        <v>2999.9998270000001</v>
      </c>
      <c r="G33">
        <v>40002</v>
      </c>
      <c r="H33">
        <v>2999.9998270000001</v>
      </c>
      <c r="I33">
        <v>3.748453</v>
      </c>
      <c r="K33">
        <v>1</v>
      </c>
      <c r="M33">
        <v>43001.999830000001</v>
      </c>
      <c r="N33">
        <v>43001.999830000001</v>
      </c>
      <c r="O33">
        <v>1</v>
      </c>
      <c r="Q33">
        <v>1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2.6947700000000001</v>
      </c>
      <c r="Z33">
        <v>1.0364230000000001</v>
      </c>
      <c r="AB33">
        <v>1</v>
      </c>
      <c r="AC33">
        <v>25</v>
      </c>
      <c r="AD33">
        <v>0</v>
      </c>
      <c r="AE33">
        <v>30</v>
      </c>
      <c r="AF33">
        <v>6</v>
      </c>
      <c r="AG33">
        <v>25</v>
      </c>
      <c r="AH33">
        <v>0</v>
      </c>
      <c r="AI33">
        <v>30</v>
      </c>
      <c r="AJ33">
        <v>6</v>
      </c>
      <c r="AK33">
        <v>0.30599999999999999</v>
      </c>
      <c r="AL33">
        <v>8</v>
      </c>
      <c r="AM33">
        <v>3.8249999999999999E-2</v>
      </c>
    </row>
    <row r="34" spans="1:39" x14ac:dyDescent="0.3">
      <c r="A34" t="s">
        <v>36</v>
      </c>
      <c r="B34">
        <v>3019.9997720000001</v>
      </c>
      <c r="C34">
        <v>1.8121999999999999E-2</v>
      </c>
      <c r="D34">
        <v>0</v>
      </c>
      <c r="E34">
        <v>43021.999770000002</v>
      </c>
      <c r="F34">
        <v>3019.9997720000001</v>
      </c>
      <c r="G34">
        <v>40002</v>
      </c>
      <c r="H34">
        <v>3019.9997720000001</v>
      </c>
      <c r="I34">
        <v>3.3587309999999997</v>
      </c>
      <c r="K34">
        <v>1</v>
      </c>
      <c r="M34">
        <v>43021.999770000002</v>
      </c>
      <c r="N34">
        <v>43021.999770000002</v>
      </c>
      <c r="O34">
        <v>1</v>
      </c>
      <c r="Q34">
        <v>1</v>
      </c>
      <c r="R34">
        <v>1</v>
      </c>
      <c r="S34">
        <v>0</v>
      </c>
      <c r="T34">
        <v>0</v>
      </c>
      <c r="U34">
        <v>0</v>
      </c>
      <c r="V34">
        <v>0</v>
      </c>
      <c r="W34">
        <v>0</v>
      </c>
      <c r="X34">
        <v>2.8664459999999998</v>
      </c>
      <c r="Z34">
        <v>0.474163</v>
      </c>
      <c r="AB34">
        <v>1</v>
      </c>
      <c r="AC34">
        <v>46</v>
      </c>
      <c r="AD34">
        <v>1</v>
      </c>
      <c r="AE34">
        <v>5</v>
      </c>
      <c r="AF34">
        <v>0</v>
      </c>
      <c r="AG34">
        <v>46</v>
      </c>
      <c r="AH34">
        <v>1</v>
      </c>
      <c r="AI34">
        <v>5</v>
      </c>
      <c r="AJ34">
        <v>0</v>
      </c>
      <c r="AK34">
        <v>0.03</v>
      </c>
      <c r="AL34">
        <v>1</v>
      </c>
      <c r="AM34">
        <v>0.03</v>
      </c>
    </row>
    <row r="35" spans="1:39" x14ac:dyDescent="0.3">
      <c r="A35" t="s">
        <v>37</v>
      </c>
      <c r="B35">
        <v>3019.999945</v>
      </c>
      <c r="C35">
        <v>1.8593999999999999E-2</v>
      </c>
      <c r="D35">
        <v>0</v>
      </c>
      <c r="E35">
        <v>43022.999949999998</v>
      </c>
      <c r="F35">
        <v>3019.999945</v>
      </c>
      <c r="G35">
        <v>40003</v>
      </c>
      <c r="H35">
        <v>3019.999945</v>
      </c>
      <c r="I35">
        <v>3.3600509999999995</v>
      </c>
      <c r="K35">
        <v>1</v>
      </c>
      <c r="M35">
        <v>43022.999949999998</v>
      </c>
      <c r="N35">
        <v>43022.999949999998</v>
      </c>
      <c r="O35">
        <v>1</v>
      </c>
      <c r="Q35">
        <v>1</v>
      </c>
      <c r="R35">
        <v>1</v>
      </c>
      <c r="S35">
        <v>0</v>
      </c>
      <c r="T35">
        <v>0</v>
      </c>
      <c r="U35">
        <v>0</v>
      </c>
      <c r="V35">
        <v>0</v>
      </c>
      <c r="W35">
        <v>0</v>
      </c>
      <c r="X35">
        <v>3.0876709999999998</v>
      </c>
      <c r="Z35">
        <v>0.25378600000000001</v>
      </c>
      <c r="AB35">
        <v>1</v>
      </c>
      <c r="AC35">
        <v>47</v>
      </c>
      <c r="AD35">
        <v>0</v>
      </c>
      <c r="AE35">
        <v>21</v>
      </c>
      <c r="AF35">
        <v>0</v>
      </c>
      <c r="AG35">
        <v>47</v>
      </c>
      <c r="AH35">
        <v>0</v>
      </c>
      <c r="AI35">
        <v>21</v>
      </c>
      <c r="AJ35">
        <v>0</v>
      </c>
      <c r="AK35">
        <v>2.4E-2</v>
      </c>
      <c r="AL35">
        <v>1</v>
      </c>
      <c r="AM35">
        <v>2.4E-2</v>
      </c>
    </row>
    <row r="36" spans="1:39" x14ac:dyDescent="0.3">
      <c r="A36" t="s">
        <v>38</v>
      </c>
      <c r="B36">
        <v>2959.9999459999999</v>
      </c>
      <c r="C36">
        <v>1.9883999999999999E-2</v>
      </c>
      <c r="D36">
        <v>0</v>
      </c>
      <c r="E36">
        <v>52960.999949999998</v>
      </c>
      <c r="F36">
        <v>2959.9999459999999</v>
      </c>
      <c r="G36">
        <v>50001</v>
      </c>
      <c r="H36">
        <v>2959.9999459999999</v>
      </c>
      <c r="I36">
        <v>5.9372800000000003</v>
      </c>
      <c r="K36">
        <v>1</v>
      </c>
      <c r="M36">
        <v>52960.999949999998</v>
      </c>
      <c r="N36">
        <v>52960.999949999998</v>
      </c>
      <c r="O36">
        <v>1</v>
      </c>
      <c r="Q36">
        <v>1</v>
      </c>
      <c r="R36">
        <v>1</v>
      </c>
      <c r="S36">
        <v>0</v>
      </c>
      <c r="T36">
        <v>0</v>
      </c>
      <c r="U36">
        <v>0</v>
      </c>
      <c r="V36">
        <v>0</v>
      </c>
      <c r="W36">
        <v>0</v>
      </c>
      <c r="X36">
        <v>5.0968390000000001</v>
      </c>
      <c r="Z36">
        <v>0.82055699999999998</v>
      </c>
      <c r="AB36">
        <v>1</v>
      </c>
      <c r="AC36">
        <v>97</v>
      </c>
      <c r="AD36">
        <v>0</v>
      </c>
      <c r="AE36">
        <v>10</v>
      </c>
      <c r="AF36">
        <v>0</v>
      </c>
      <c r="AG36">
        <v>97</v>
      </c>
      <c r="AH36">
        <v>0</v>
      </c>
      <c r="AI36">
        <v>10</v>
      </c>
      <c r="AJ36">
        <v>0</v>
      </c>
      <c r="AK36">
        <v>9.2999999999999999E-2</v>
      </c>
      <c r="AL36">
        <v>4</v>
      </c>
      <c r="AM36">
        <v>2.325E-2</v>
      </c>
    </row>
    <row r="37" spans="1:39" x14ac:dyDescent="0.3">
      <c r="A37" t="s">
        <v>39</v>
      </c>
      <c r="B37">
        <v>2939.9999469999998</v>
      </c>
      <c r="C37">
        <v>1.7000999999999999E-2</v>
      </c>
      <c r="D37">
        <v>0</v>
      </c>
      <c r="E37">
        <v>52940.999949999998</v>
      </c>
      <c r="F37">
        <v>2939.9999419999999</v>
      </c>
      <c r="G37">
        <v>50001</v>
      </c>
      <c r="H37">
        <v>2939.9999469999998</v>
      </c>
      <c r="I37">
        <v>3.3921510000000001</v>
      </c>
      <c r="K37">
        <v>1</v>
      </c>
      <c r="M37">
        <v>52940.999940000002</v>
      </c>
      <c r="N37">
        <v>52940.999949999998</v>
      </c>
      <c r="O37">
        <v>1</v>
      </c>
      <c r="Q37">
        <v>1</v>
      </c>
      <c r="R37">
        <v>1</v>
      </c>
      <c r="S37">
        <v>0</v>
      </c>
      <c r="T37">
        <v>0</v>
      </c>
      <c r="U37">
        <v>0</v>
      </c>
      <c r="V37">
        <v>0</v>
      </c>
      <c r="W37">
        <v>0</v>
      </c>
      <c r="X37">
        <v>1.979009</v>
      </c>
      <c r="Z37">
        <v>1.3961410000000001</v>
      </c>
      <c r="AB37">
        <v>1</v>
      </c>
      <c r="AC37">
        <v>1147</v>
      </c>
      <c r="AD37">
        <v>3</v>
      </c>
      <c r="AE37">
        <v>55</v>
      </c>
      <c r="AF37">
        <v>1</v>
      </c>
      <c r="AG37">
        <v>1147</v>
      </c>
      <c r="AH37">
        <v>3</v>
      </c>
      <c r="AI37">
        <v>55</v>
      </c>
      <c r="AJ37">
        <v>1</v>
      </c>
      <c r="AK37">
        <v>0.13300000000000001</v>
      </c>
      <c r="AL37">
        <v>2</v>
      </c>
      <c r="AM37">
        <v>6.6500000000000004E-2</v>
      </c>
    </row>
    <row r="38" spans="1:39" x14ac:dyDescent="0.3">
      <c r="A38" t="s">
        <v>40</v>
      </c>
      <c r="B38">
        <v>3039.9996310000001</v>
      </c>
      <c r="C38">
        <v>2.3061999999999999E-2</v>
      </c>
      <c r="D38">
        <v>0</v>
      </c>
      <c r="E38">
        <v>43040.999629999998</v>
      </c>
      <c r="F38">
        <v>3039.9996310000001</v>
      </c>
      <c r="G38">
        <v>40001</v>
      </c>
      <c r="H38">
        <v>3039.9996310000001</v>
      </c>
      <c r="I38">
        <v>2.7739639999999999</v>
      </c>
      <c r="K38">
        <v>1</v>
      </c>
      <c r="M38">
        <v>43040.999629999998</v>
      </c>
      <c r="N38">
        <v>43040.999629999998</v>
      </c>
      <c r="O38">
        <v>1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2.292408</v>
      </c>
      <c r="Z38">
        <v>0.45849400000000001</v>
      </c>
      <c r="AB38">
        <v>1</v>
      </c>
      <c r="AC38">
        <v>44</v>
      </c>
      <c r="AD38">
        <v>1</v>
      </c>
      <c r="AE38">
        <v>7</v>
      </c>
      <c r="AF38">
        <v>0</v>
      </c>
      <c r="AG38">
        <v>44</v>
      </c>
      <c r="AH38">
        <v>1</v>
      </c>
      <c r="AI38">
        <v>7</v>
      </c>
      <c r="AJ38">
        <v>0</v>
      </c>
      <c r="AK38">
        <v>4.7E-2</v>
      </c>
      <c r="AL38">
        <v>2</v>
      </c>
      <c r="AM38">
        <v>2.35E-2</v>
      </c>
    </row>
    <row r="39" spans="1:39" x14ac:dyDescent="0.3">
      <c r="A39" t="s">
        <v>41</v>
      </c>
      <c r="B39">
        <v>3019.9999630000002</v>
      </c>
      <c r="C39">
        <v>2.2565999999999999E-2</v>
      </c>
      <c r="D39">
        <v>0</v>
      </c>
      <c r="E39">
        <v>43020.999960000001</v>
      </c>
      <c r="F39">
        <v>3019.9999630000002</v>
      </c>
      <c r="G39">
        <v>40001</v>
      </c>
      <c r="H39">
        <v>3019.9999630000002</v>
      </c>
      <c r="I39">
        <v>3.7901289999999994</v>
      </c>
      <c r="K39">
        <v>1</v>
      </c>
      <c r="M39">
        <v>43020.999960000001</v>
      </c>
      <c r="N39">
        <v>43020.999960000001</v>
      </c>
      <c r="O39">
        <v>1</v>
      </c>
      <c r="Q39">
        <v>1</v>
      </c>
      <c r="R39">
        <v>1</v>
      </c>
      <c r="S39">
        <v>0</v>
      </c>
      <c r="T39">
        <v>0</v>
      </c>
      <c r="U39">
        <v>0</v>
      </c>
      <c r="V39">
        <v>0</v>
      </c>
      <c r="W39">
        <v>0</v>
      </c>
      <c r="X39">
        <v>2.5111029999999999</v>
      </c>
      <c r="Z39">
        <v>1.2564599999999999</v>
      </c>
      <c r="AB39">
        <v>1</v>
      </c>
      <c r="AC39">
        <v>667</v>
      </c>
      <c r="AD39">
        <v>0</v>
      </c>
      <c r="AE39">
        <v>20</v>
      </c>
      <c r="AF39">
        <v>1</v>
      </c>
      <c r="AG39">
        <v>667</v>
      </c>
      <c r="AH39">
        <v>0</v>
      </c>
      <c r="AI39">
        <v>20</v>
      </c>
      <c r="AJ39">
        <v>1</v>
      </c>
      <c r="AK39">
        <v>0.08</v>
      </c>
      <c r="AL39">
        <v>2</v>
      </c>
      <c r="AM39">
        <v>0.04</v>
      </c>
    </row>
    <row r="40" spans="1:39" x14ac:dyDescent="0.3">
      <c r="A40" t="s">
        <v>42</v>
      </c>
      <c r="B40">
        <v>2959.9999459999999</v>
      </c>
      <c r="C40">
        <v>1.9251000000000001E-2</v>
      </c>
      <c r="D40">
        <v>0</v>
      </c>
      <c r="E40">
        <v>42962.999949999998</v>
      </c>
      <c r="F40">
        <v>2959.9999459999999</v>
      </c>
      <c r="G40">
        <v>40003</v>
      </c>
      <c r="H40">
        <v>2959.9999459999999</v>
      </c>
      <c r="I40">
        <v>5.4875109999999996</v>
      </c>
      <c r="K40">
        <v>1</v>
      </c>
      <c r="M40">
        <v>42962.999949999998</v>
      </c>
      <c r="N40">
        <v>42962.999949999998</v>
      </c>
      <c r="O40">
        <v>1</v>
      </c>
      <c r="Q40">
        <v>1</v>
      </c>
      <c r="R40">
        <v>1</v>
      </c>
      <c r="S40">
        <v>0</v>
      </c>
      <c r="T40">
        <v>0</v>
      </c>
      <c r="U40">
        <v>0</v>
      </c>
      <c r="V40">
        <v>0</v>
      </c>
      <c r="W40">
        <v>0</v>
      </c>
      <c r="X40">
        <v>5.0060669999999998</v>
      </c>
      <c r="Z40">
        <v>0.46219300000000002</v>
      </c>
      <c r="AB40">
        <v>1</v>
      </c>
      <c r="AC40">
        <v>51</v>
      </c>
      <c r="AD40">
        <v>1</v>
      </c>
      <c r="AE40">
        <v>14</v>
      </c>
      <c r="AF40">
        <v>0</v>
      </c>
      <c r="AG40">
        <v>51</v>
      </c>
      <c r="AH40">
        <v>1</v>
      </c>
      <c r="AI40">
        <v>14</v>
      </c>
      <c r="AJ40">
        <v>0</v>
      </c>
      <c r="AK40">
        <v>0.03</v>
      </c>
      <c r="AL40">
        <v>1</v>
      </c>
      <c r="AM40">
        <v>0.03</v>
      </c>
    </row>
    <row r="41" spans="1:39" x14ac:dyDescent="0.3">
      <c r="A41" t="s">
        <v>43</v>
      </c>
      <c r="B41">
        <v>3200.0002439999998</v>
      </c>
      <c r="C41">
        <v>1.4961E-2</v>
      </c>
      <c r="D41">
        <v>0</v>
      </c>
      <c r="E41">
        <v>53201.000240000001</v>
      </c>
      <c r="F41">
        <v>3200.0002439999998</v>
      </c>
      <c r="G41">
        <v>50001</v>
      </c>
      <c r="H41">
        <v>3200.0002439999998</v>
      </c>
      <c r="I41">
        <v>5.6959710000000001</v>
      </c>
      <c r="K41">
        <v>1</v>
      </c>
      <c r="M41">
        <v>53201.000240000001</v>
      </c>
      <c r="N41">
        <v>53201.000240000001</v>
      </c>
      <c r="O41">
        <v>1</v>
      </c>
      <c r="Q41">
        <v>1</v>
      </c>
      <c r="R41">
        <v>1</v>
      </c>
      <c r="S41">
        <v>0</v>
      </c>
      <c r="T41">
        <v>0</v>
      </c>
      <c r="U41">
        <v>0</v>
      </c>
      <c r="V41">
        <v>0</v>
      </c>
      <c r="W41">
        <v>0</v>
      </c>
      <c r="X41">
        <v>5.1836950000000002</v>
      </c>
      <c r="Z41">
        <v>0.49731500000000001</v>
      </c>
      <c r="AB41">
        <v>1</v>
      </c>
      <c r="AC41">
        <v>58</v>
      </c>
      <c r="AD41">
        <v>1</v>
      </c>
      <c r="AE41">
        <v>7</v>
      </c>
      <c r="AF41">
        <v>0</v>
      </c>
      <c r="AG41">
        <v>58</v>
      </c>
      <c r="AH41">
        <v>1</v>
      </c>
      <c r="AI41">
        <v>7</v>
      </c>
      <c r="AJ41">
        <v>0</v>
      </c>
      <c r="AK41">
        <v>2.9000000000000001E-2</v>
      </c>
      <c r="AL41">
        <v>1</v>
      </c>
      <c r="AM41">
        <v>2.9000000000000001E-2</v>
      </c>
    </row>
    <row r="42" spans="1:39" x14ac:dyDescent="0.3">
      <c r="A42" t="s">
        <v>44</v>
      </c>
      <c r="B42">
        <v>3000.0001609999999</v>
      </c>
      <c r="C42">
        <v>1.8516999999999999E-2</v>
      </c>
      <c r="D42">
        <v>0</v>
      </c>
      <c r="E42">
        <v>53001.000160000003</v>
      </c>
      <c r="F42">
        <v>3000.0001609999999</v>
      </c>
      <c r="G42">
        <v>50001</v>
      </c>
      <c r="H42">
        <v>3000.0001609999999</v>
      </c>
      <c r="I42">
        <v>3.9218919999999997</v>
      </c>
      <c r="K42">
        <v>1</v>
      </c>
      <c r="M42">
        <v>53001.000160000003</v>
      </c>
      <c r="N42">
        <v>53001.000160000003</v>
      </c>
      <c r="O42">
        <v>1</v>
      </c>
      <c r="Q42">
        <v>1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3.1115629999999999</v>
      </c>
      <c r="Z42">
        <v>0.79181199999999996</v>
      </c>
      <c r="AB42">
        <v>1</v>
      </c>
      <c r="AC42">
        <v>186</v>
      </c>
      <c r="AD42">
        <v>2</v>
      </c>
      <c r="AE42">
        <v>13</v>
      </c>
      <c r="AF42">
        <v>0</v>
      </c>
      <c r="AG42">
        <v>186</v>
      </c>
      <c r="AH42">
        <v>2</v>
      </c>
      <c r="AI42">
        <v>13</v>
      </c>
      <c r="AJ42">
        <v>0</v>
      </c>
      <c r="AK42">
        <v>3.7999999999999999E-2</v>
      </c>
      <c r="AL42">
        <v>1</v>
      </c>
      <c r="AM42">
        <v>3.7999999999999999E-2</v>
      </c>
    </row>
    <row r="43" spans="1:39" x14ac:dyDescent="0.3">
      <c r="A43" t="s">
        <v>45</v>
      </c>
      <c r="B43">
        <v>3220.0001419999999</v>
      </c>
      <c r="C43">
        <v>1.8055000000000002E-2</v>
      </c>
      <c r="D43">
        <v>0</v>
      </c>
      <c r="E43">
        <v>53221.000139999996</v>
      </c>
      <c r="F43">
        <v>3220.0001419999999</v>
      </c>
      <c r="G43">
        <v>50001</v>
      </c>
      <c r="H43">
        <v>3220.0001419999999</v>
      </c>
      <c r="I43">
        <v>4.2966170000000004</v>
      </c>
      <c r="K43">
        <v>1</v>
      </c>
      <c r="M43">
        <v>53221.000139999996</v>
      </c>
      <c r="N43">
        <v>53221.000139999996</v>
      </c>
      <c r="O43">
        <v>1</v>
      </c>
      <c r="Q43">
        <v>1</v>
      </c>
      <c r="R43">
        <v>1</v>
      </c>
      <c r="S43">
        <v>0</v>
      </c>
      <c r="T43">
        <v>0</v>
      </c>
      <c r="U43">
        <v>0</v>
      </c>
      <c r="V43">
        <v>0</v>
      </c>
      <c r="W43">
        <v>0</v>
      </c>
      <c r="X43">
        <v>3.6285530000000001</v>
      </c>
      <c r="Z43">
        <v>0.65000899999999995</v>
      </c>
      <c r="AB43">
        <v>1</v>
      </c>
      <c r="AC43">
        <v>76</v>
      </c>
      <c r="AD43">
        <v>1</v>
      </c>
      <c r="AE43">
        <v>33</v>
      </c>
      <c r="AF43">
        <v>0</v>
      </c>
      <c r="AG43">
        <v>76</v>
      </c>
      <c r="AH43">
        <v>1</v>
      </c>
      <c r="AI43">
        <v>33</v>
      </c>
      <c r="AJ43">
        <v>0</v>
      </c>
      <c r="AK43">
        <v>3.6999999999999998E-2</v>
      </c>
      <c r="AL43">
        <v>1</v>
      </c>
      <c r="AM43">
        <v>3.6999999999999998E-2</v>
      </c>
    </row>
    <row r="44" spans="1:39" x14ac:dyDescent="0.3">
      <c r="A44" t="s">
        <v>46</v>
      </c>
      <c r="B44">
        <v>3119.999675</v>
      </c>
      <c r="C44">
        <v>2.0274E-2</v>
      </c>
      <c r="D44">
        <v>0</v>
      </c>
      <c r="E44">
        <v>43120.999680000001</v>
      </c>
      <c r="F44">
        <v>3119.999675</v>
      </c>
      <c r="G44">
        <v>40001</v>
      </c>
      <c r="H44">
        <v>3119.999675</v>
      </c>
      <c r="I44">
        <v>4.7411080000000005</v>
      </c>
      <c r="K44">
        <v>1</v>
      </c>
      <c r="M44">
        <v>43120.999680000001</v>
      </c>
      <c r="N44">
        <v>43120.999680000001</v>
      </c>
      <c r="O44">
        <v>1</v>
      </c>
      <c r="Q44">
        <v>1</v>
      </c>
      <c r="R44">
        <v>1</v>
      </c>
      <c r="S44">
        <v>0</v>
      </c>
      <c r="T44">
        <v>0</v>
      </c>
      <c r="U44">
        <v>0</v>
      </c>
      <c r="V44">
        <v>0</v>
      </c>
      <c r="W44">
        <v>0</v>
      </c>
      <c r="X44">
        <v>3.3273269999999999</v>
      </c>
      <c r="Z44">
        <v>1.3935070000000001</v>
      </c>
      <c r="AB44">
        <v>1</v>
      </c>
      <c r="AC44">
        <v>213</v>
      </c>
      <c r="AD44">
        <v>0</v>
      </c>
      <c r="AE44">
        <v>78</v>
      </c>
      <c r="AF44">
        <v>4</v>
      </c>
      <c r="AG44">
        <v>213</v>
      </c>
      <c r="AH44">
        <v>0</v>
      </c>
      <c r="AI44">
        <v>78</v>
      </c>
      <c r="AJ44">
        <v>4</v>
      </c>
      <c r="AK44">
        <v>0.30599999999999999</v>
      </c>
      <c r="AL44">
        <v>5</v>
      </c>
      <c r="AM44">
        <v>6.1199999999999997E-2</v>
      </c>
    </row>
    <row r="45" spans="1:39" x14ac:dyDescent="0.3">
      <c r="A45" t="s">
        <v>47</v>
      </c>
      <c r="B45">
        <v>3019.9999630000002</v>
      </c>
      <c r="C45">
        <v>2.2037999999999999E-2</v>
      </c>
      <c r="D45">
        <v>0</v>
      </c>
      <c r="E45">
        <v>43021.999960000001</v>
      </c>
      <c r="F45">
        <v>3019.9999630000002</v>
      </c>
      <c r="G45">
        <v>40002</v>
      </c>
      <c r="H45">
        <v>3019.9999630000002</v>
      </c>
      <c r="I45">
        <v>4.540781</v>
      </c>
      <c r="K45">
        <v>1</v>
      </c>
      <c r="M45">
        <v>43021.999960000001</v>
      </c>
      <c r="N45">
        <v>43021.999960000001</v>
      </c>
      <c r="O45">
        <v>1</v>
      </c>
      <c r="Q45">
        <v>1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3.9865379999999999</v>
      </c>
      <c r="Z45">
        <v>0.53220500000000004</v>
      </c>
      <c r="AB45">
        <v>1</v>
      </c>
      <c r="AC45">
        <v>109</v>
      </c>
      <c r="AD45">
        <v>0</v>
      </c>
      <c r="AE45">
        <v>6</v>
      </c>
      <c r="AF45">
        <v>0</v>
      </c>
      <c r="AG45">
        <v>109</v>
      </c>
      <c r="AH45">
        <v>0</v>
      </c>
      <c r="AI45">
        <v>6</v>
      </c>
      <c r="AJ45">
        <v>0</v>
      </c>
      <c r="AK45">
        <v>4.5999999999999999E-2</v>
      </c>
      <c r="AL45">
        <v>1</v>
      </c>
      <c r="AM45">
        <v>4.5999999999999999E-2</v>
      </c>
    </row>
    <row r="46" spans="1:39" x14ac:dyDescent="0.3">
      <c r="A46" t="s">
        <v>48</v>
      </c>
      <c r="B46">
        <v>3279.9994409999999</v>
      </c>
      <c r="C46">
        <v>2.0625999999999999E-2</v>
      </c>
      <c r="D46">
        <v>0</v>
      </c>
      <c r="E46">
        <v>53280.99944</v>
      </c>
      <c r="F46">
        <v>3279.9994409999999</v>
      </c>
      <c r="G46">
        <v>50001</v>
      </c>
      <c r="H46">
        <v>3279.9994409999999</v>
      </c>
      <c r="I46">
        <v>4.7483309999999994</v>
      </c>
      <c r="K46">
        <v>1</v>
      </c>
      <c r="M46">
        <v>53280.99944</v>
      </c>
      <c r="N46">
        <v>53280.99944</v>
      </c>
      <c r="O46">
        <v>1</v>
      </c>
      <c r="Q46">
        <v>1</v>
      </c>
      <c r="R46">
        <v>1</v>
      </c>
      <c r="S46">
        <v>0</v>
      </c>
      <c r="T46">
        <v>0</v>
      </c>
      <c r="U46">
        <v>0</v>
      </c>
      <c r="V46">
        <v>0</v>
      </c>
      <c r="W46">
        <v>0</v>
      </c>
      <c r="X46">
        <v>4.2812729999999997</v>
      </c>
      <c r="Z46">
        <v>0.446432</v>
      </c>
      <c r="AB46">
        <v>1</v>
      </c>
      <c r="AC46">
        <v>60</v>
      </c>
      <c r="AD46">
        <v>1</v>
      </c>
      <c r="AE46">
        <v>10</v>
      </c>
      <c r="AF46">
        <v>0</v>
      </c>
      <c r="AG46">
        <v>60</v>
      </c>
      <c r="AH46">
        <v>1</v>
      </c>
      <c r="AI46">
        <v>10</v>
      </c>
      <c r="AJ46">
        <v>0</v>
      </c>
      <c r="AK46">
        <v>2.1000000000000001E-2</v>
      </c>
      <c r="AL46">
        <v>1</v>
      </c>
      <c r="AM46">
        <v>2.1000000000000001E-2</v>
      </c>
    </row>
    <row r="47" spans="1:39" x14ac:dyDescent="0.3">
      <c r="A47" t="s">
        <v>49</v>
      </c>
      <c r="B47">
        <v>2999.9998270000001</v>
      </c>
      <c r="C47">
        <v>1.7503999999999999E-2</v>
      </c>
      <c r="D47">
        <v>0</v>
      </c>
      <c r="E47">
        <v>43000.999830000001</v>
      </c>
      <c r="F47">
        <v>2999.9998270000001</v>
      </c>
      <c r="G47">
        <v>40001</v>
      </c>
      <c r="H47">
        <v>2999.9998270000001</v>
      </c>
      <c r="I47">
        <v>4.9738249999999997</v>
      </c>
      <c r="K47">
        <v>1</v>
      </c>
      <c r="M47">
        <v>43000.999830000001</v>
      </c>
      <c r="N47">
        <v>43000.999830000001</v>
      </c>
      <c r="O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2.731344</v>
      </c>
      <c r="Z47">
        <v>2.224977</v>
      </c>
      <c r="AB47">
        <v>1</v>
      </c>
      <c r="AC47">
        <v>417</v>
      </c>
      <c r="AD47">
        <v>3</v>
      </c>
      <c r="AE47">
        <v>65</v>
      </c>
      <c r="AF47">
        <v>20</v>
      </c>
      <c r="AG47">
        <v>417</v>
      </c>
      <c r="AH47">
        <v>3</v>
      </c>
      <c r="AI47">
        <v>65</v>
      </c>
      <c r="AJ47">
        <v>20</v>
      </c>
      <c r="AK47">
        <v>1.0549999999999999</v>
      </c>
      <c r="AL47">
        <v>22</v>
      </c>
      <c r="AM47">
        <v>4.7954999999999998E-2</v>
      </c>
    </row>
    <row r="48" spans="1:39" x14ac:dyDescent="0.3">
      <c r="A48" t="s">
        <v>50</v>
      </c>
      <c r="B48">
        <v>3000.0001609999999</v>
      </c>
      <c r="C48">
        <v>1.7049000000000002E-2</v>
      </c>
      <c r="D48">
        <v>0</v>
      </c>
      <c r="E48">
        <v>43002.000160000003</v>
      </c>
      <c r="F48">
        <v>3000.0001609999999</v>
      </c>
      <c r="G48">
        <v>40002</v>
      </c>
      <c r="H48">
        <v>3000.0001609999999</v>
      </c>
      <c r="I48">
        <v>7.2175010000000004</v>
      </c>
      <c r="K48">
        <v>1</v>
      </c>
      <c r="M48">
        <v>43002.000160000003</v>
      </c>
      <c r="N48">
        <v>43002.000160000003</v>
      </c>
      <c r="O48">
        <v>1</v>
      </c>
      <c r="Q48">
        <v>1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3.725244</v>
      </c>
      <c r="Z48">
        <v>3.4752079999999999</v>
      </c>
      <c r="AB48">
        <v>1</v>
      </c>
      <c r="AC48">
        <v>1388</v>
      </c>
      <c r="AD48">
        <v>5</v>
      </c>
      <c r="AE48">
        <v>147</v>
      </c>
      <c r="AF48">
        <v>15</v>
      </c>
      <c r="AG48">
        <v>1388</v>
      </c>
      <c r="AH48">
        <v>5</v>
      </c>
      <c r="AI48">
        <v>147</v>
      </c>
      <c r="AJ48">
        <v>15</v>
      </c>
      <c r="AK48">
        <v>1.262</v>
      </c>
      <c r="AL48">
        <v>16</v>
      </c>
      <c r="AM48">
        <v>7.8875000000000001E-2</v>
      </c>
    </row>
    <row r="49" spans="1:39" x14ac:dyDescent="0.3">
      <c r="A49" t="s">
        <v>51</v>
      </c>
      <c r="B49">
        <v>3100.0003190000002</v>
      </c>
      <c r="C49">
        <v>2.2356000000000001E-2</v>
      </c>
      <c r="D49">
        <v>0</v>
      </c>
      <c r="E49">
        <v>43102.000319999999</v>
      </c>
      <c r="F49">
        <v>3100.0001040000002</v>
      </c>
      <c r="G49">
        <v>40002</v>
      </c>
      <c r="H49">
        <v>3100.0003190000002</v>
      </c>
      <c r="I49">
        <v>3.018033</v>
      </c>
      <c r="K49">
        <v>1</v>
      </c>
      <c r="M49">
        <v>43102.000099999997</v>
      </c>
      <c r="N49">
        <v>43102.000319999999</v>
      </c>
      <c r="O49">
        <v>1</v>
      </c>
      <c r="Q49">
        <v>1</v>
      </c>
      <c r="R49">
        <v>1</v>
      </c>
      <c r="S49">
        <v>0</v>
      </c>
      <c r="T49">
        <v>0</v>
      </c>
      <c r="U49">
        <v>0</v>
      </c>
      <c r="V49">
        <v>0</v>
      </c>
      <c r="W49">
        <v>0</v>
      </c>
      <c r="X49">
        <v>2.376328</v>
      </c>
      <c r="Z49">
        <v>0.61934900000000004</v>
      </c>
      <c r="AB49">
        <v>1</v>
      </c>
      <c r="AC49">
        <v>51</v>
      </c>
      <c r="AD49">
        <v>2</v>
      </c>
      <c r="AE49">
        <v>98</v>
      </c>
      <c r="AF49">
        <v>1</v>
      </c>
      <c r="AG49">
        <v>51</v>
      </c>
      <c r="AH49">
        <v>2</v>
      </c>
      <c r="AI49">
        <v>98</v>
      </c>
      <c r="AJ49">
        <v>1</v>
      </c>
      <c r="AK49">
        <v>5.0999999999999997E-2</v>
      </c>
      <c r="AL49">
        <v>2</v>
      </c>
      <c r="AM49">
        <v>2.5499999999999998E-2</v>
      </c>
    </row>
    <row r="50" spans="1:39" x14ac:dyDescent="0.3">
      <c r="A50" t="s">
        <v>52</v>
      </c>
      <c r="B50">
        <v>3019.999945</v>
      </c>
      <c r="C50">
        <v>1.8131999999999999E-2</v>
      </c>
      <c r="D50">
        <v>0</v>
      </c>
      <c r="E50">
        <v>43020.999949999998</v>
      </c>
      <c r="F50">
        <v>3019.999945</v>
      </c>
      <c r="G50">
        <v>40001</v>
      </c>
      <c r="H50">
        <v>3019.999945</v>
      </c>
      <c r="I50">
        <v>3.423718</v>
      </c>
      <c r="K50">
        <v>1</v>
      </c>
      <c r="M50">
        <v>43020.999949999998</v>
      </c>
      <c r="N50">
        <v>43020.999949999998</v>
      </c>
      <c r="O50">
        <v>1</v>
      </c>
      <c r="Q50">
        <v>1</v>
      </c>
      <c r="R50">
        <v>1</v>
      </c>
      <c r="S50">
        <v>0</v>
      </c>
      <c r="T50">
        <v>0</v>
      </c>
      <c r="U50">
        <v>0</v>
      </c>
      <c r="V50">
        <v>0</v>
      </c>
      <c r="W50">
        <v>0</v>
      </c>
      <c r="X50">
        <v>2.764726</v>
      </c>
      <c r="Z50">
        <v>0.64085999999999999</v>
      </c>
      <c r="AB50">
        <v>1</v>
      </c>
      <c r="AC50">
        <v>137</v>
      </c>
      <c r="AD50">
        <v>1</v>
      </c>
      <c r="AE50">
        <v>2</v>
      </c>
      <c r="AF50">
        <v>0</v>
      </c>
      <c r="AG50">
        <v>137</v>
      </c>
      <c r="AH50">
        <v>1</v>
      </c>
      <c r="AI50">
        <v>2</v>
      </c>
      <c r="AJ50">
        <v>0</v>
      </c>
      <c r="AK50">
        <v>3.6999999999999998E-2</v>
      </c>
      <c r="AL50">
        <v>1</v>
      </c>
      <c r="AM50">
        <v>3.6999999999999998E-2</v>
      </c>
    </row>
    <row r="51" spans="1:39" x14ac:dyDescent="0.3">
      <c r="A51" t="s">
        <v>53</v>
      </c>
      <c r="B51">
        <v>3120.0000030000001</v>
      </c>
      <c r="C51">
        <v>1.8404E-2</v>
      </c>
      <c r="D51">
        <v>0</v>
      </c>
      <c r="E51">
        <v>43123</v>
      </c>
      <c r="F51">
        <v>3120.0000030000001</v>
      </c>
      <c r="G51">
        <v>40003</v>
      </c>
      <c r="H51">
        <v>3120.0000030000001</v>
      </c>
      <c r="I51">
        <v>6.7264880000000007</v>
      </c>
      <c r="K51">
        <v>1</v>
      </c>
      <c r="M51">
        <v>43123</v>
      </c>
      <c r="N51">
        <v>43123</v>
      </c>
      <c r="O51">
        <v>1</v>
      </c>
      <c r="Q51">
        <v>1</v>
      </c>
      <c r="R51">
        <v>1</v>
      </c>
      <c r="S51">
        <v>0</v>
      </c>
      <c r="T51">
        <v>0</v>
      </c>
      <c r="U51">
        <v>0</v>
      </c>
      <c r="V51">
        <v>0</v>
      </c>
      <c r="W51">
        <v>0</v>
      </c>
      <c r="X51">
        <v>6.11782</v>
      </c>
      <c r="Z51">
        <v>0.59026400000000001</v>
      </c>
      <c r="AB51">
        <v>1</v>
      </c>
      <c r="AC51">
        <v>80</v>
      </c>
      <c r="AD51">
        <v>1</v>
      </c>
      <c r="AE51">
        <v>3</v>
      </c>
      <c r="AF51">
        <v>4</v>
      </c>
      <c r="AG51">
        <v>80</v>
      </c>
      <c r="AH51">
        <v>1</v>
      </c>
      <c r="AI51">
        <v>3</v>
      </c>
      <c r="AJ51">
        <v>4</v>
      </c>
      <c r="AK51">
        <v>0.183</v>
      </c>
      <c r="AL51">
        <v>5</v>
      </c>
      <c r="AM51">
        <v>3.6600000000000001E-2</v>
      </c>
    </row>
    <row r="52" spans="1:39" x14ac:dyDescent="0.3">
      <c r="A52" t="s">
        <v>54</v>
      </c>
      <c r="B52">
        <v>3119.9998260000002</v>
      </c>
      <c r="C52">
        <v>1.6972000000000001E-2</v>
      </c>
      <c r="D52">
        <v>0</v>
      </c>
      <c r="E52">
        <v>43120.999830000001</v>
      </c>
      <c r="F52">
        <v>3119.9998260000002</v>
      </c>
      <c r="G52">
        <v>40001</v>
      </c>
      <c r="H52">
        <v>3119.9998260000002</v>
      </c>
      <c r="I52">
        <v>3.6679330000000001</v>
      </c>
      <c r="K52">
        <v>1</v>
      </c>
      <c r="M52">
        <v>43120.999830000001</v>
      </c>
      <c r="N52">
        <v>43120.999830000001</v>
      </c>
      <c r="O52">
        <v>1</v>
      </c>
      <c r="Q52">
        <v>1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2.7203020000000002</v>
      </c>
      <c r="Z52">
        <v>0.93065900000000001</v>
      </c>
      <c r="AB52">
        <v>1</v>
      </c>
      <c r="AC52">
        <v>82</v>
      </c>
      <c r="AD52">
        <v>2</v>
      </c>
      <c r="AE52">
        <v>11</v>
      </c>
      <c r="AF52">
        <v>2</v>
      </c>
      <c r="AG52">
        <v>82</v>
      </c>
      <c r="AH52">
        <v>2</v>
      </c>
      <c r="AI52">
        <v>11</v>
      </c>
      <c r="AJ52">
        <v>2</v>
      </c>
      <c r="AK52">
        <v>0.26700000000000002</v>
      </c>
      <c r="AL52">
        <v>3</v>
      </c>
      <c r="AM52">
        <v>8.8999999999999996E-2</v>
      </c>
    </row>
    <row r="53" spans="1:39" x14ac:dyDescent="0.3">
      <c r="A53" t="s">
        <v>55</v>
      </c>
      <c r="B53">
        <v>3200.0002439999998</v>
      </c>
      <c r="C53">
        <v>1.3989E-2</v>
      </c>
      <c r="D53">
        <v>0</v>
      </c>
      <c r="E53">
        <v>53201.000240000001</v>
      </c>
      <c r="F53">
        <v>3200.0002439999998</v>
      </c>
      <c r="G53">
        <v>50001</v>
      </c>
      <c r="H53">
        <v>3200.0002439999998</v>
      </c>
      <c r="I53">
        <v>5.2643529999999998</v>
      </c>
      <c r="K53">
        <v>1</v>
      </c>
      <c r="M53">
        <v>53201.000240000001</v>
      </c>
      <c r="N53">
        <v>53201.000240000001</v>
      </c>
      <c r="O53">
        <v>1</v>
      </c>
      <c r="Q53">
        <v>1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4.563612</v>
      </c>
      <c r="Z53">
        <v>0.68675200000000003</v>
      </c>
      <c r="AB53">
        <v>1</v>
      </c>
      <c r="AC53">
        <v>91</v>
      </c>
      <c r="AD53">
        <v>3</v>
      </c>
      <c r="AE53">
        <v>90</v>
      </c>
      <c r="AF53">
        <v>1</v>
      </c>
      <c r="AG53">
        <v>91</v>
      </c>
      <c r="AH53">
        <v>3</v>
      </c>
      <c r="AI53">
        <v>90</v>
      </c>
      <c r="AJ53">
        <v>1</v>
      </c>
      <c r="AK53">
        <v>9.2999999999999999E-2</v>
      </c>
      <c r="AL53">
        <v>2</v>
      </c>
      <c r="AM53">
        <v>4.65E-2</v>
      </c>
    </row>
    <row r="54" spans="1:39" x14ac:dyDescent="0.3">
      <c r="A54" t="s">
        <v>56</v>
      </c>
      <c r="B54">
        <v>3039.999855</v>
      </c>
      <c r="C54">
        <v>1.9775000000000001E-2</v>
      </c>
      <c r="D54">
        <v>0</v>
      </c>
      <c r="E54">
        <v>43041.999860000004</v>
      </c>
      <c r="F54">
        <v>3039.9998089999999</v>
      </c>
      <c r="G54">
        <v>40002</v>
      </c>
      <c r="H54">
        <v>3039.999855</v>
      </c>
      <c r="I54">
        <v>4.2115860000000005</v>
      </c>
      <c r="K54">
        <v>1</v>
      </c>
      <c r="M54">
        <v>43041.999810000001</v>
      </c>
      <c r="N54">
        <v>43041.999860000004</v>
      </c>
      <c r="O54">
        <v>1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3.457643</v>
      </c>
      <c r="Z54">
        <v>0.73416800000000004</v>
      </c>
      <c r="AB54">
        <v>1</v>
      </c>
      <c r="AC54">
        <v>75</v>
      </c>
      <c r="AD54">
        <v>3</v>
      </c>
      <c r="AE54">
        <v>137</v>
      </c>
      <c r="AF54">
        <v>5</v>
      </c>
      <c r="AG54">
        <v>75</v>
      </c>
      <c r="AH54">
        <v>3</v>
      </c>
      <c r="AI54">
        <v>137</v>
      </c>
      <c r="AJ54">
        <v>5</v>
      </c>
      <c r="AK54">
        <v>0.155</v>
      </c>
      <c r="AL54">
        <v>6</v>
      </c>
      <c r="AM54">
        <v>2.5832999999999998E-2</v>
      </c>
    </row>
    <row r="55" spans="1:39" x14ac:dyDescent="0.3">
      <c r="A55" t="s">
        <v>57</v>
      </c>
      <c r="B55">
        <v>3260.0000380000001</v>
      </c>
      <c r="C55">
        <v>1.8762999999999998E-2</v>
      </c>
      <c r="D55">
        <v>0</v>
      </c>
      <c r="E55">
        <v>33263.000039999999</v>
      </c>
      <c r="F55">
        <v>3260.0000380000001</v>
      </c>
      <c r="G55">
        <v>30003</v>
      </c>
      <c r="H55">
        <v>3260.0000380000001</v>
      </c>
      <c r="I55">
        <v>1.772311</v>
      </c>
      <c r="K55">
        <v>1</v>
      </c>
      <c r="M55">
        <v>33263.000039999999</v>
      </c>
      <c r="N55">
        <v>33263.000039999999</v>
      </c>
      <c r="O55">
        <v>1</v>
      </c>
      <c r="Q55">
        <v>1</v>
      </c>
      <c r="R55">
        <v>1</v>
      </c>
      <c r="S55">
        <v>0</v>
      </c>
      <c r="T55">
        <v>0</v>
      </c>
      <c r="U55">
        <v>0</v>
      </c>
      <c r="V55">
        <v>0</v>
      </c>
      <c r="W55">
        <v>0</v>
      </c>
      <c r="X55">
        <v>0.94208199999999997</v>
      </c>
      <c r="Z55">
        <v>0.81146600000000002</v>
      </c>
      <c r="AB55">
        <v>1</v>
      </c>
      <c r="AC55">
        <v>144</v>
      </c>
      <c r="AD55">
        <v>5</v>
      </c>
      <c r="AE55">
        <v>65</v>
      </c>
      <c r="AF55">
        <v>0</v>
      </c>
      <c r="AG55">
        <v>144</v>
      </c>
      <c r="AH55">
        <v>5</v>
      </c>
      <c r="AI55">
        <v>65</v>
      </c>
      <c r="AJ55">
        <v>0</v>
      </c>
      <c r="AK55">
        <v>3.5999999999999997E-2</v>
      </c>
      <c r="AL55">
        <v>1</v>
      </c>
      <c r="AM55">
        <v>3.5999999999999997E-2</v>
      </c>
    </row>
    <row r="56" spans="1:39" x14ac:dyDescent="0.3">
      <c r="A56" t="s">
        <v>58</v>
      </c>
      <c r="B56">
        <v>3239.9997950000002</v>
      </c>
      <c r="C56">
        <v>1.9251999999999998E-2</v>
      </c>
      <c r="D56">
        <v>0</v>
      </c>
      <c r="E56">
        <v>43240.999799999998</v>
      </c>
      <c r="F56">
        <v>3239.9997950000002</v>
      </c>
      <c r="G56">
        <v>40001</v>
      </c>
      <c r="H56">
        <v>3239.9997950000002</v>
      </c>
      <c r="I56">
        <v>4.1226330000000004</v>
      </c>
      <c r="K56">
        <v>1</v>
      </c>
      <c r="M56">
        <v>43240.999799999998</v>
      </c>
      <c r="N56">
        <v>43240.999799999998</v>
      </c>
      <c r="O56">
        <v>1</v>
      </c>
      <c r="Q56">
        <v>1</v>
      </c>
      <c r="R56">
        <v>1</v>
      </c>
      <c r="S56">
        <v>0</v>
      </c>
      <c r="T56">
        <v>0</v>
      </c>
      <c r="U56">
        <v>0</v>
      </c>
      <c r="V56">
        <v>0</v>
      </c>
      <c r="W56">
        <v>0</v>
      </c>
      <c r="X56">
        <v>3.4217710000000001</v>
      </c>
      <c r="Z56">
        <v>0.68161000000000005</v>
      </c>
      <c r="AB56">
        <v>1</v>
      </c>
      <c r="AC56">
        <v>112</v>
      </c>
      <c r="AD56">
        <v>1</v>
      </c>
      <c r="AE56">
        <v>42</v>
      </c>
      <c r="AF56">
        <v>2</v>
      </c>
      <c r="AG56">
        <v>112</v>
      </c>
      <c r="AH56">
        <v>1</v>
      </c>
      <c r="AI56">
        <v>42</v>
      </c>
      <c r="AJ56">
        <v>2</v>
      </c>
      <c r="AK56">
        <v>0.11700000000000001</v>
      </c>
      <c r="AL56">
        <v>3</v>
      </c>
      <c r="AM56">
        <v>3.9E-2</v>
      </c>
    </row>
    <row r="57" spans="1:39" x14ac:dyDescent="0.3">
      <c r="A57" t="s">
        <v>59</v>
      </c>
      <c r="B57">
        <v>3020.0000460000001</v>
      </c>
      <c r="C57">
        <v>6.1073000000000002E-2</v>
      </c>
      <c r="D57">
        <v>0</v>
      </c>
      <c r="E57">
        <v>43022.000050000002</v>
      </c>
      <c r="F57">
        <v>3020.0000460000001</v>
      </c>
      <c r="G57">
        <v>40002</v>
      </c>
      <c r="H57">
        <v>3020.0000460000001</v>
      </c>
      <c r="I57">
        <v>3.310638</v>
      </c>
      <c r="K57">
        <v>1</v>
      </c>
      <c r="M57">
        <v>43022.000050000002</v>
      </c>
      <c r="N57">
        <v>43022.000050000002</v>
      </c>
      <c r="O57">
        <v>1</v>
      </c>
      <c r="Q57">
        <v>1</v>
      </c>
      <c r="R57">
        <v>1</v>
      </c>
      <c r="S57">
        <v>0</v>
      </c>
      <c r="T57">
        <v>0</v>
      </c>
      <c r="U57">
        <v>0</v>
      </c>
      <c r="V57">
        <v>0</v>
      </c>
      <c r="W57">
        <v>0</v>
      </c>
      <c r="X57">
        <v>2.7468970000000001</v>
      </c>
      <c r="Z57">
        <v>0.502668</v>
      </c>
      <c r="AB57">
        <v>1</v>
      </c>
      <c r="AC57">
        <v>5</v>
      </c>
      <c r="AD57">
        <v>1</v>
      </c>
      <c r="AE57">
        <v>5</v>
      </c>
      <c r="AF57">
        <v>0</v>
      </c>
      <c r="AG57">
        <v>5</v>
      </c>
      <c r="AH57">
        <v>1</v>
      </c>
      <c r="AI57">
        <v>5</v>
      </c>
      <c r="AJ57">
        <v>0</v>
      </c>
      <c r="AK57">
        <v>4.3999999999999997E-2</v>
      </c>
      <c r="AL57">
        <v>1</v>
      </c>
      <c r="AM57">
        <v>4.3999999999999997E-2</v>
      </c>
    </row>
    <row r="58" spans="1:39" x14ac:dyDescent="0.3">
      <c r="A58" t="s">
        <v>60</v>
      </c>
      <c r="B58">
        <v>3119.9995309999999</v>
      </c>
      <c r="C58">
        <v>1.8547999999999999E-2</v>
      </c>
      <c r="D58">
        <v>0</v>
      </c>
      <c r="E58">
        <v>43120.999530000001</v>
      </c>
      <c r="F58">
        <v>3119.9995309999999</v>
      </c>
      <c r="G58">
        <v>40001</v>
      </c>
      <c r="H58">
        <v>3119.9995309999999</v>
      </c>
      <c r="I58">
        <v>3.5394589999999999</v>
      </c>
      <c r="K58">
        <v>1</v>
      </c>
      <c r="M58">
        <v>43120.999530000001</v>
      </c>
      <c r="N58">
        <v>43120.999530000001</v>
      </c>
      <c r="O58">
        <v>1</v>
      </c>
      <c r="Q58">
        <v>1</v>
      </c>
      <c r="R58">
        <v>1</v>
      </c>
      <c r="S58">
        <v>0</v>
      </c>
      <c r="T58">
        <v>0</v>
      </c>
      <c r="U58">
        <v>0</v>
      </c>
      <c r="V58">
        <v>0</v>
      </c>
      <c r="W58">
        <v>0</v>
      </c>
      <c r="X58">
        <v>2.7459720000000001</v>
      </c>
      <c r="Z58">
        <v>0.77493900000000004</v>
      </c>
      <c r="AB58">
        <v>1</v>
      </c>
      <c r="AC58">
        <v>186</v>
      </c>
      <c r="AD58">
        <v>0</v>
      </c>
      <c r="AE58">
        <v>41</v>
      </c>
      <c r="AF58">
        <v>1</v>
      </c>
      <c r="AG58">
        <v>186</v>
      </c>
      <c r="AH58">
        <v>0</v>
      </c>
      <c r="AI58">
        <v>41</v>
      </c>
      <c r="AJ58">
        <v>1</v>
      </c>
      <c r="AK58">
        <v>6.2E-2</v>
      </c>
      <c r="AL58">
        <v>3</v>
      </c>
      <c r="AM58">
        <v>2.0667000000000001E-2</v>
      </c>
    </row>
    <row r="59" spans="1:39" x14ac:dyDescent="0.3">
      <c r="A59" t="s">
        <v>61</v>
      </c>
      <c r="B59">
        <v>3119.999957</v>
      </c>
      <c r="C59">
        <v>1.4330000000000001E-2</v>
      </c>
      <c r="D59">
        <v>0</v>
      </c>
      <c r="E59">
        <v>53120.999960000001</v>
      </c>
      <c r="F59">
        <v>3119.999957</v>
      </c>
      <c r="G59">
        <v>50001</v>
      </c>
      <c r="H59">
        <v>3119.999957</v>
      </c>
      <c r="I59">
        <v>9.496477999999998</v>
      </c>
      <c r="K59">
        <v>1</v>
      </c>
      <c r="M59">
        <v>53120.999960000001</v>
      </c>
      <c r="N59">
        <v>53120.999960000001</v>
      </c>
      <c r="O59">
        <v>1</v>
      </c>
      <c r="Q59">
        <v>1</v>
      </c>
      <c r="R59">
        <v>1</v>
      </c>
      <c r="S59">
        <v>0</v>
      </c>
      <c r="T59">
        <v>0</v>
      </c>
      <c r="U59">
        <v>0</v>
      </c>
      <c r="V59">
        <v>0</v>
      </c>
      <c r="W59">
        <v>0</v>
      </c>
      <c r="X59">
        <v>8.9415429999999994</v>
      </c>
      <c r="Z59">
        <v>0.540605</v>
      </c>
      <c r="AB59">
        <v>1</v>
      </c>
      <c r="AC59">
        <v>18</v>
      </c>
      <c r="AD59">
        <v>1</v>
      </c>
      <c r="AE59">
        <v>56</v>
      </c>
      <c r="AF59">
        <v>0</v>
      </c>
      <c r="AG59">
        <v>18</v>
      </c>
      <c r="AH59">
        <v>1</v>
      </c>
      <c r="AI59">
        <v>56</v>
      </c>
      <c r="AJ59">
        <v>0</v>
      </c>
      <c r="AK59">
        <v>4.2000000000000003E-2</v>
      </c>
      <c r="AL59">
        <v>1</v>
      </c>
      <c r="AM59">
        <v>4.2000000000000003E-2</v>
      </c>
    </row>
    <row r="60" spans="1:39" x14ac:dyDescent="0.3">
      <c r="A60" t="s">
        <v>62</v>
      </c>
      <c r="B60">
        <v>3279.9994409999999</v>
      </c>
      <c r="C60">
        <v>1.9861E-2</v>
      </c>
      <c r="D60">
        <v>0</v>
      </c>
      <c r="E60">
        <v>53280.99944</v>
      </c>
      <c r="F60">
        <v>3279.9994409999999</v>
      </c>
      <c r="G60">
        <v>50001</v>
      </c>
      <c r="H60">
        <v>3279.9994409999999</v>
      </c>
      <c r="I60">
        <v>6.4772939999999997</v>
      </c>
      <c r="K60">
        <v>1</v>
      </c>
      <c r="M60">
        <v>53280.99944</v>
      </c>
      <c r="N60">
        <v>53280.99944</v>
      </c>
      <c r="O60">
        <v>1</v>
      </c>
      <c r="Q60">
        <v>1</v>
      </c>
      <c r="R60">
        <v>1</v>
      </c>
      <c r="S60">
        <v>0</v>
      </c>
      <c r="T60">
        <v>0</v>
      </c>
      <c r="U60">
        <v>0</v>
      </c>
      <c r="V60">
        <v>0</v>
      </c>
      <c r="W60">
        <v>0</v>
      </c>
      <c r="X60">
        <v>5.2300230000000001</v>
      </c>
      <c r="Z60">
        <v>1.2274099999999999</v>
      </c>
      <c r="AB60">
        <v>1</v>
      </c>
      <c r="AC60">
        <v>318</v>
      </c>
      <c r="AD60">
        <v>4</v>
      </c>
      <c r="AE60">
        <v>164</v>
      </c>
      <c r="AF60">
        <v>4</v>
      </c>
      <c r="AG60">
        <v>318</v>
      </c>
      <c r="AH60">
        <v>4</v>
      </c>
      <c r="AI60">
        <v>164</v>
      </c>
      <c r="AJ60">
        <v>4</v>
      </c>
      <c r="AK60">
        <v>0.17100000000000001</v>
      </c>
      <c r="AL60">
        <v>6</v>
      </c>
      <c r="AM60">
        <v>2.8500000000000001E-2</v>
      </c>
    </row>
    <row r="61" spans="1:39" s="1" customFormat="1" x14ac:dyDescent="0.3">
      <c r="A61" s="1" t="s">
        <v>63</v>
      </c>
      <c r="B61" s="1">
        <v>3039.9998719999999</v>
      </c>
      <c r="C61" s="1">
        <v>1.9243E-2</v>
      </c>
      <c r="D61" s="1">
        <v>0</v>
      </c>
      <c r="E61" s="1">
        <v>43041.99987</v>
      </c>
      <c r="F61" s="1">
        <v>3039.9998719999999</v>
      </c>
      <c r="G61" s="1">
        <v>40002</v>
      </c>
      <c r="H61" s="1">
        <v>3039.9998719999999</v>
      </c>
      <c r="I61" s="1">
        <v>19.105714000000003</v>
      </c>
      <c r="K61" s="1">
        <v>3</v>
      </c>
      <c r="M61" s="1">
        <v>43041.99987</v>
      </c>
      <c r="N61" s="1">
        <v>43041.99987</v>
      </c>
      <c r="O61" s="1">
        <v>1</v>
      </c>
      <c r="Q61" s="1">
        <v>1</v>
      </c>
      <c r="R61" s="1">
        <v>1</v>
      </c>
      <c r="S61" s="1">
        <v>0</v>
      </c>
      <c r="T61" s="1">
        <v>0</v>
      </c>
      <c r="U61" s="1">
        <v>0</v>
      </c>
      <c r="V61" s="1">
        <v>1</v>
      </c>
      <c r="W61" s="1">
        <v>1</v>
      </c>
      <c r="X61" s="1">
        <v>16.145199000000002</v>
      </c>
      <c r="Z61" s="1">
        <v>2.9412720000000001</v>
      </c>
      <c r="AB61" s="1">
        <v>3</v>
      </c>
      <c r="AC61" s="1">
        <v>702</v>
      </c>
      <c r="AD61" s="1">
        <v>5</v>
      </c>
      <c r="AE61" s="1">
        <v>86</v>
      </c>
      <c r="AF61" s="1">
        <v>13</v>
      </c>
      <c r="AG61" s="1">
        <v>234</v>
      </c>
      <c r="AH61" s="1">
        <v>1</v>
      </c>
      <c r="AI61" s="1">
        <v>28</v>
      </c>
      <c r="AJ61" s="1">
        <v>4</v>
      </c>
      <c r="AK61" s="1">
        <v>0.751</v>
      </c>
      <c r="AL61" s="1">
        <v>16</v>
      </c>
      <c r="AM61" s="1">
        <v>4.6938000000000001E-2</v>
      </c>
    </row>
    <row r="62" spans="1:39" x14ac:dyDescent="0.3">
      <c r="A62" t="s">
        <v>64</v>
      </c>
      <c r="B62">
        <v>4423.3330669999996</v>
      </c>
      <c r="C62">
        <v>2.7032E-2</v>
      </c>
      <c r="D62">
        <v>0</v>
      </c>
      <c r="E62">
        <v>64425.333070000001</v>
      </c>
      <c r="F62">
        <v>4423.3330669999996</v>
      </c>
      <c r="G62">
        <v>60002</v>
      </c>
      <c r="H62">
        <v>4423.3330669999996</v>
      </c>
      <c r="I62">
        <v>13.597480000000001</v>
      </c>
      <c r="J62">
        <v>130.19708353333334</v>
      </c>
      <c r="K62">
        <v>1</v>
      </c>
      <c r="L62">
        <f>AVERAGE(K62:K91)</f>
        <v>1</v>
      </c>
      <c r="M62">
        <v>64425.333070000001</v>
      </c>
      <c r="N62">
        <v>64425.333070000001</v>
      </c>
      <c r="O62">
        <v>1</v>
      </c>
      <c r="P62">
        <v>30</v>
      </c>
      <c r="Q62">
        <v>1</v>
      </c>
      <c r="R62">
        <v>1</v>
      </c>
      <c r="S62">
        <v>0</v>
      </c>
      <c r="T62">
        <v>0</v>
      </c>
      <c r="U62">
        <v>0</v>
      </c>
      <c r="V62">
        <v>0</v>
      </c>
      <c r="W62">
        <v>0</v>
      </c>
      <c r="X62">
        <v>10.451802000000001</v>
      </c>
      <c r="Y62">
        <v>124.33776373333335</v>
      </c>
      <c r="Z62">
        <v>3.118646</v>
      </c>
      <c r="AA62">
        <v>5.8331831999999997</v>
      </c>
      <c r="AB62">
        <v>1</v>
      </c>
      <c r="AC62">
        <v>432</v>
      </c>
      <c r="AD62">
        <v>9</v>
      </c>
      <c r="AE62">
        <v>429</v>
      </c>
      <c r="AF62">
        <v>0</v>
      </c>
      <c r="AG62">
        <v>432</v>
      </c>
      <c r="AH62">
        <v>9</v>
      </c>
      <c r="AI62">
        <v>429</v>
      </c>
      <c r="AJ62">
        <v>0</v>
      </c>
      <c r="AK62">
        <v>0.14000000000000001</v>
      </c>
      <c r="AL62">
        <v>1</v>
      </c>
      <c r="AM62">
        <v>0.14000000000000001</v>
      </c>
    </row>
    <row r="63" spans="1:39" x14ac:dyDescent="0.3">
      <c r="A63" t="s">
        <v>65</v>
      </c>
      <c r="B63">
        <v>4453.3329009999998</v>
      </c>
      <c r="C63">
        <v>2.1173000000000001E-2</v>
      </c>
      <c r="D63">
        <v>0</v>
      </c>
      <c r="E63">
        <v>64454.332900000001</v>
      </c>
      <c r="F63">
        <v>4453.3330919999999</v>
      </c>
      <c r="G63">
        <v>60001</v>
      </c>
      <c r="H63">
        <v>4453.3329009999998</v>
      </c>
      <c r="I63">
        <v>13.269086</v>
      </c>
      <c r="K63">
        <v>1</v>
      </c>
      <c r="M63">
        <v>64454.33309</v>
      </c>
      <c r="N63">
        <v>64454.332900000001</v>
      </c>
      <c r="O63">
        <v>1</v>
      </c>
      <c r="Q63">
        <v>1</v>
      </c>
      <c r="R63">
        <v>1</v>
      </c>
      <c r="S63">
        <v>0</v>
      </c>
      <c r="T63">
        <v>0</v>
      </c>
      <c r="U63">
        <v>0</v>
      </c>
      <c r="V63">
        <v>0</v>
      </c>
      <c r="W63">
        <v>0</v>
      </c>
      <c r="X63">
        <v>11.393005</v>
      </c>
      <c r="Z63">
        <v>1.854908</v>
      </c>
      <c r="AB63">
        <v>1</v>
      </c>
      <c r="AC63">
        <v>92</v>
      </c>
      <c r="AD63">
        <v>1</v>
      </c>
      <c r="AE63">
        <v>29</v>
      </c>
      <c r="AF63">
        <v>2</v>
      </c>
      <c r="AG63">
        <v>92</v>
      </c>
      <c r="AH63">
        <v>1</v>
      </c>
      <c r="AI63">
        <v>29</v>
      </c>
      <c r="AJ63">
        <v>2</v>
      </c>
      <c r="AK63">
        <v>0.625</v>
      </c>
      <c r="AL63">
        <v>4</v>
      </c>
      <c r="AM63">
        <v>0.15625</v>
      </c>
    </row>
    <row r="64" spans="1:39" x14ac:dyDescent="0.3">
      <c r="A64" t="s">
        <v>66</v>
      </c>
      <c r="B64">
        <v>4609.9999550000002</v>
      </c>
      <c r="C64">
        <v>3.2973000000000002E-2</v>
      </c>
      <c r="D64">
        <v>0</v>
      </c>
      <c r="E64">
        <v>64610.999960000001</v>
      </c>
      <c r="F64">
        <v>4609.9999299999999</v>
      </c>
      <c r="G64">
        <v>60001</v>
      </c>
      <c r="H64">
        <v>4609.9999550000002</v>
      </c>
      <c r="I64">
        <v>13.410157999999999</v>
      </c>
      <c r="K64">
        <v>1</v>
      </c>
      <c r="M64">
        <v>64610.999929999998</v>
      </c>
      <c r="N64">
        <v>64610.999960000001</v>
      </c>
      <c r="O64">
        <v>1</v>
      </c>
      <c r="Q64">
        <v>1</v>
      </c>
      <c r="R64">
        <v>1</v>
      </c>
      <c r="S64">
        <v>0</v>
      </c>
      <c r="T64">
        <v>0</v>
      </c>
      <c r="U64">
        <v>0</v>
      </c>
      <c r="V64">
        <v>0</v>
      </c>
      <c r="W64">
        <v>0</v>
      </c>
      <c r="X64">
        <v>12.012354999999999</v>
      </c>
      <c r="Z64">
        <v>1.36483</v>
      </c>
      <c r="AB64">
        <v>1</v>
      </c>
      <c r="AC64">
        <v>82</v>
      </c>
      <c r="AD64">
        <v>1</v>
      </c>
      <c r="AE64">
        <v>79</v>
      </c>
      <c r="AF64">
        <v>0</v>
      </c>
      <c r="AG64">
        <v>82</v>
      </c>
      <c r="AH64">
        <v>1</v>
      </c>
      <c r="AI64">
        <v>79</v>
      </c>
      <c r="AJ64">
        <v>0</v>
      </c>
      <c r="AK64">
        <v>0.107</v>
      </c>
      <c r="AL64">
        <v>1</v>
      </c>
      <c r="AM64">
        <v>0.107</v>
      </c>
    </row>
    <row r="65" spans="1:39" x14ac:dyDescent="0.3">
      <c r="A65" t="s">
        <v>67</v>
      </c>
      <c r="B65">
        <v>4410.0003109999998</v>
      </c>
      <c r="C65">
        <v>2.564E-2</v>
      </c>
      <c r="D65">
        <v>0</v>
      </c>
      <c r="E65">
        <v>64412.000310000003</v>
      </c>
      <c r="F65">
        <v>4410.0002869999998</v>
      </c>
      <c r="G65">
        <v>60002</v>
      </c>
      <c r="H65">
        <v>4410.0003109999998</v>
      </c>
      <c r="I65">
        <v>15.804304999999999</v>
      </c>
      <c r="K65">
        <v>1</v>
      </c>
      <c r="M65">
        <v>64412.000290000004</v>
      </c>
      <c r="N65">
        <v>64412.000310000003</v>
      </c>
      <c r="O65">
        <v>1</v>
      </c>
      <c r="Q65">
        <v>1</v>
      </c>
      <c r="R65">
        <v>1</v>
      </c>
      <c r="S65">
        <v>0</v>
      </c>
      <c r="T65">
        <v>0</v>
      </c>
      <c r="U65">
        <v>0</v>
      </c>
      <c r="V65">
        <v>0</v>
      </c>
      <c r="W65">
        <v>0</v>
      </c>
      <c r="X65">
        <v>13.68276</v>
      </c>
      <c r="Z65">
        <v>2.0959050000000001</v>
      </c>
      <c r="AB65">
        <v>1</v>
      </c>
      <c r="AC65">
        <v>200</v>
      </c>
      <c r="AD65">
        <v>1</v>
      </c>
      <c r="AE65">
        <v>28</v>
      </c>
      <c r="AF65">
        <v>0</v>
      </c>
      <c r="AG65">
        <v>200</v>
      </c>
      <c r="AH65">
        <v>1</v>
      </c>
      <c r="AI65">
        <v>28</v>
      </c>
      <c r="AJ65">
        <v>0</v>
      </c>
      <c r="AK65">
        <v>0.193</v>
      </c>
      <c r="AL65">
        <v>1</v>
      </c>
      <c r="AM65">
        <v>0.193</v>
      </c>
    </row>
    <row r="66" spans="1:39" x14ac:dyDescent="0.3">
      <c r="A66" t="s">
        <v>68</v>
      </c>
      <c r="B66">
        <v>4576.6661260000001</v>
      </c>
      <c r="C66">
        <v>2.3904000000000002E-2</v>
      </c>
      <c r="D66">
        <v>0</v>
      </c>
      <c r="E66">
        <v>64578.666129999998</v>
      </c>
      <c r="F66">
        <v>4576.6660949999996</v>
      </c>
      <c r="G66">
        <v>60002</v>
      </c>
      <c r="H66">
        <v>4576.6661260000001</v>
      </c>
      <c r="I66">
        <v>15.238854999999999</v>
      </c>
      <c r="K66">
        <v>1</v>
      </c>
      <c r="M66">
        <v>64578.666100000002</v>
      </c>
      <c r="N66">
        <v>64578.666129999998</v>
      </c>
      <c r="O66">
        <v>1</v>
      </c>
      <c r="Q66">
        <v>1</v>
      </c>
      <c r="R66">
        <v>1</v>
      </c>
      <c r="S66">
        <v>0</v>
      </c>
      <c r="T66">
        <v>0</v>
      </c>
      <c r="U66">
        <v>0</v>
      </c>
      <c r="V66">
        <v>0</v>
      </c>
      <c r="W66">
        <v>0</v>
      </c>
      <c r="X66">
        <v>13.490247999999999</v>
      </c>
      <c r="Z66">
        <v>1.7247030000000001</v>
      </c>
      <c r="AB66">
        <v>1</v>
      </c>
      <c r="AC66">
        <v>150</v>
      </c>
      <c r="AD66">
        <v>3</v>
      </c>
      <c r="AE66">
        <v>40</v>
      </c>
      <c r="AF66">
        <v>0</v>
      </c>
      <c r="AG66">
        <v>150</v>
      </c>
      <c r="AH66">
        <v>3</v>
      </c>
      <c r="AI66">
        <v>40</v>
      </c>
      <c r="AJ66">
        <v>0</v>
      </c>
      <c r="AK66">
        <v>0.16</v>
      </c>
      <c r="AL66">
        <v>1</v>
      </c>
      <c r="AM66">
        <v>0.16</v>
      </c>
    </row>
    <row r="67" spans="1:39" x14ac:dyDescent="0.3">
      <c r="A67" t="s">
        <v>69</v>
      </c>
      <c r="B67">
        <v>4439.999965</v>
      </c>
      <c r="C67">
        <v>2.2565999999999999E-2</v>
      </c>
      <c r="D67">
        <v>0</v>
      </c>
      <c r="E67">
        <v>64441.999969999997</v>
      </c>
      <c r="F67">
        <v>4439.9999550000002</v>
      </c>
      <c r="G67">
        <v>60002</v>
      </c>
      <c r="H67">
        <v>4439.999965</v>
      </c>
      <c r="I67">
        <v>13.696825999999998</v>
      </c>
      <c r="K67">
        <v>1</v>
      </c>
      <c r="M67">
        <v>64441.999960000001</v>
      </c>
      <c r="N67">
        <v>64441.999969999997</v>
      </c>
      <c r="O67">
        <v>1</v>
      </c>
      <c r="Q67">
        <v>1</v>
      </c>
      <c r="R67">
        <v>1</v>
      </c>
      <c r="S67">
        <v>0</v>
      </c>
      <c r="T67">
        <v>0</v>
      </c>
      <c r="U67">
        <v>0</v>
      </c>
      <c r="V67">
        <v>0</v>
      </c>
      <c r="W67">
        <v>0</v>
      </c>
      <c r="X67">
        <v>11.213251</v>
      </c>
      <c r="Z67">
        <v>2.4610089999999998</v>
      </c>
      <c r="AB67">
        <v>1</v>
      </c>
      <c r="AC67">
        <v>265</v>
      </c>
      <c r="AD67">
        <v>3</v>
      </c>
      <c r="AE67">
        <v>122</v>
      </c>
      <c r="AF67">
        <v>1</v>
      </c>
      <c r="AG67">
        <v>265</v>
      </c>
      <c r="AH67">
        <v>3</v>
      </c>
      <c r="AI67">
        <v>122</v>
      </c>
      <c r="AJ67">
        <v>1</v>
      </c>
      <c r="AK67">
        <v>0.34100000000000003</v>
      </c>
      <c r="AL67">
        <v>2</v>
      </c>
      <c r="AM67">
        <v>0.17050000000000001</v>
      </c>
    </row>
    <row r="68" spans="1:39" x14ac:dyDescent="0.3">
      <c r="A68" t="s">
        <v>70</v>
      </c>
      <c r="B68">
        <v>4603.3328449999999</v>
      </c>
      <c r="C68">
        <v>2.6998999999999999E-2</v>
      </c>
      <c r="D68">
        <v>0</v>
      </c>
      <c r="E68">
        <v>64606.332849999999</v>
      </c>
      <c r="F68">
        <v>4603.3330349999997</v>
      </c>
      <c r="G68">
        <v>60003</v>
      </c>
      <c r="H68">
        <v>4603.3328449999999</v>
      </c>
      <c r="I68">
        <v>21.006204</v>
      </c>
      <c r="K68">
        <v>1</v>
      </c>
      <c r="M68">
        <v>64606.333039999998</v>
      </c>
      <c r="N68">
        <v>64606.332849999999</v>
      </c>
      <c r="O68">
        <v>1</v>
      </c>
      <c r="Q68">
        <v>1</v>
      </c>
      <c r="R68">
        <v>1</v>
      </c>
      <c r="S68">
        <v>0</v>
      </c>
      <c r="T68">
        <v>0</v>
      </c>
      <c r="U68">
        <v>0</v>
      </c>
      <c r="V68">
        <v>0</v>
      </c>
      <c r="W68">
        <v>0</v>
      </c>
      <c r="X68">
        <v>17.512560000000001</v>
      </c>
      <c r="Z68">
        <v>3.4666450000000002</v>
      </c>
      <c r="AB68">
        <v>1</v>
      </c>
      <c r="AC68">
        <v>708</v>
      </c>
      <c r="AD68">
        <v>6</v>
      </c>
      <c r="AE68">
        <v>29</v>
      </c>
      <c r="AF68">
        <v>2</v>
      </c>
      <c r="AG68">
        <v>708</v>
      </c>
      <c r="AH68">
        <v>6</v>
      </c>
      <c r="AI68">
        <v>29</v>
      </c>
      <c r="AJ68">
        <v>2</v>
      </c>
      <c r="AK68">
        <v>0.499</v>
      </c>
      <c r="AL68">
        <v>3</v>
      </c>
      <c r="AM68">
        <v>0.16633300000000001</v>
      </c>
    </row>
    <row r="69" spans="1:39" x14ac:dyDescent="0.3">
      <c r="A69" t="s">
        <v>71</v>
      </c>
      <c r="B69">
        <v>4670.0000579999996</v>
      </c>
      <c r="C69">
        <v>2.4344999999999999E-2</v>
      </c>
      <c r="D69">
        <v>0</v>
      </c>
      <c r="E69">
        <v>64672.000059999998</v>
      </c>
      <c r="F69">
        <v>4670.0000339999997</v>
      </c>
      <c r="G69">
        <v>60002</v>
      </c>
      <c r="H69">
        <v>4670.0000579999996</v>
      </c>
      <c r="I69">
        <v>20.028584000000002</v>
      </c>
      <c r="K69">
        <v>1</v>
      </c>
      <c r="M69">
        <v>64672.000030000003</v>
      </c>
      <c r="N69">
        <v>64672.000059999998</v>
      </c>
      <c r="O69">
        <v>1</v>
      </c>
      <c r="Q69">
        <v>1</v>
      </c>
      <c r="R69">
        <v>1</v>
      </c>
      <c r="S69">
        <v>0</v>
      </c>
      <c r="T69">
        <v>0</v>
      </c>
      <c r="U69">
        <v>0</v>
      </c>
      <c r="V69">
        <v>0</v>
      </c>
      <c r="W69">
        <v>0</v>
      </c>
      <c r="X69">
        <v>17.340923</v>
      </c>
      <c r="Z69">
        <v>2.663316</v>
      </c>
      <c r="AB69">
        <v>1</v>
      </c>
      <c r="AC69">
        <v>414</v>
      </c>
      <c r="AD69">
        <v>12</v>
      </c>
      <c r="AE69">
        <v>367</v>
      </c>
      <c r="AF69">
        <v>0</v>
      </c>
      <c r="AG69">
        <v>414</v>
      </c>
      <c r="AH69">
        <v>12</v>
      </c>
      <c r="AI69">
        <v>367</v>
      </c>
      <c r="AJ69">
        <v>0</v>
      </c>
      <c r="AK69">
        <v>0.108</v>
      </c>
      <c r="AL69">
        <v>1</v>
      </c>
      <c r="AM69">
        <v>0.108</v>
      </c>
    </row>
    <row r="70" spans="1:39" x14ac:dyDescent="0.3">
      <c r="A70" t="s">
        <v>72</v>
      </c>
      <c r="B70">
        <v>4610.000223</v>
      </c>
      <c r="C70">
        <v>2.7705E-2</v>
      </c>
      <c r="D70">
        <v>0</v>
      </c>
      <c r="E70">
        <v>64611.000220000002</v>
      </c>
      <c r="F70">
        <v>4610.000223</v>
      </c>
      <c r="G70">
        <v>60001</v>
      </c>
      <c r="H70">
        <v>4610.000223</v>
      </c>
      <c r="I70">
        <v>18.525763000000001</v>
      </c>
      <c r="K70">
        <v>1</v>
      </c>
      <c r="M70">
        <v>64611.000220000002</v>
      </c>
      <c r="N70">
        <v>64611.000220000002</v>
      </c>
      <c r="O70">
        <v>1</v>
      </c>
      <c r="Q70">
        <v>1</v>
      </c>
      <c r="R70">
        <v>1</v>
      </c>
      <c r="S70">
        <v>0</v>
      </c>
      <c r="T70">
        <v>0</v>
      </c>
      <c r="U70">
        <v>0</v>
      </c>
      <c r="V70">
        <v>0</v>
      </c>
      <c r="W70">
        <v>0</v>
      </c>
      <c r="X70">
        <v>17.916032999999999</v>
      </c>
      <c r="Z70">
        <v>0.58202500000000001</v>
      </c>
      <c r="AB70">
        <v>1</v>
      </c>
      <c r="AC70">
        <v>0</v>
      </c>
      <c r="AD70">
        <v>1</v>
      </c>
      <c r="AE70">
        <v>0</v>
      </c>
      <c r="AF70">
        <v>0</v>
      </c>
      <c r="AG70">
        <v>0</v>
      </c>
      <c r="AH70">
        <v>1</v>
      </c>
      <c r="AI70">
        <v>0</v>
      </c>
      <c r="AJ70">
        <v>0</v>
      </c>
      <c r="AK70">
        <v>7.8E-2</v>
      </c>
      <c r="AL70">
        <v>1</v>
      </c>
      <c r="AM70">
        <v>7.8E-2</v>
      </c>
    </row>
    <row r="71" spans="1:39" x14ac:dyDescent="0.3">
      <c r="A71" t="s">
        <v>73</v>
      </c>
      <c r="B71">
        <v>4799.9997080000003</v>
      </c>
      <c r="C71">
        <v>2.5524000000000002E-2</v>
      </c>
      <c r="D71">
        <v>0</v>
      </c>
      <c r="E71">
        <v>64800.999709999996</v>
      </c>
      <c r="F71">
        <v>4799.9997080000003</v>
      </c>
      <c r="G71">
        <v>60001</v>
      </c>
      <c r="H71">
        <v>4799.9997080000003</v>
      </c>
      <c r="I71">
        <v>20.652456000000001</v>
      </c>
      <c r="K71">
        <v>1</v>
      </c>
      <c r="M71">
        <v>64800.999709999996</v>
      </c>
      <c r="N71">
        <v>64800.999709999996</v>
      </c>
      <c r="O71">
        <v>1</v>
      </c>
      <c r="Q71">
        <v>1</v>
      </c>
      <c r="R71">
        <v>1</v>
      </c>
      <c r="S71">
        <v>0</v>
      </c>
      <c r="T71">
        <v>0</v>
      </c>
      <c r="U71">
        <v>0</v>
      </c>
      <c r="V71">
        <v>0</v>
      </c>
      <c r="W71">
        <v>0</v>
      </c>
      <c r="X71">
        <v>17.730664000000001</v>
      </c>
      <c r="Z71">
        <v>2.8962680000000001</v>
      </c>
      <c r="AB71">
        <v>1</v>
      </c>
      <c r="AC71">
        <v>62</v>
      </c>
      <c r="AD71">
        <v>1</v>
      </c>
      <c r="AE71">
        <v>74</v>
      </c>
      <c r="AF71">
        <v>4</v>
      </c>
      <c r="AG71">
        <v>62</v>
      </c>
      <c r="AH71">
        <v>1</v>
      </c>
      <c r="AI71">
        <v>74</v>
      </c>
      <c r="AJ71">
        <v>4</v>
      </c>
      <c r="AK71">
        <v>0.69599999999999995</v>
      </c>
      <c r="AL71">
        <v>5</v>
      </c>
      <c r="AM71">
        <v>0.13919999999999999</v>
      </c>
    </row>
    <row r="72" spans="1:39" x14ac:dyDescent="0.3">
      <c r="A72" t="s">
        <v>74</v>
      </c>
      <c r="B72">
        <v>4453.3329009999998</v>
      </c>
      <c r="C72">
        <v>1.9546000000000001E-2</v>
      </c>
      <c r="D72">
        <v>0</v>
      </c>
      <c r="E72">
        <v>64454.332900000001</v>
      </c>
      <c r="F72">
        <v>4453.3330919999999</v>
      </c>
      <c r="G72">
        <v>60001</v>
      </c>
      <c r="H72">
        <v>4453.3329009999998</v>
      </c>
      <c r="I72">
        <v>20.471727000000001</v>
      </c>
      <c r="K72">
        <v>1</v>
      </c>
      <c r="M72">
        <v>64454.33309</v>
      </c>
      <c r="N72">
        <v>64454.332900000001</v>
      </c>
      <c r="O72">
        <v>1</v>
      </c>
      <c r="Q72">
        <v>1</v>
      </c>
      <c r="R72">
        <v>1</v>
      </c>
      <c r="S72">
        <v>0</v>
      </c>
      <c r="T72">
        <v>0</v>
      </c>
      <c r="U72">
        <v>0</v>
      </c>
      <c r="V72">
        <v>0</v>
      </c>
      <c r="W72">
        <v>0</v>
      </c>
      <c r="X72">
        <v>15.666698999999999</v>
      </c>
      <c r="Z72">
        <v>4.785482</v>
      </c>
      <c r="AB72">
        <v>1</v>
      </c>
      <c r="AC72">
        <v>461</v>
      </c>
      <c r="AD72">
        <v>2</v>
      </c>
      <c r="AE72">
        <v>138</v>
      </c>
      <c r="AF72">
        <v>2</v>
      </c>
      <c r="AG72">
        <v>461</v>
      </c>
      <c r="AH72">
        <v>2</v>
      </c>
      <c r="AI72">
        <v>138</v>
      </c>
      <c r="AJ72">
        <v>2</v>
      </c>
      <c r="AK72">
        <v>0.55600000000000005</v>
      </c>
      <c r="AL72">
        <v>5</v>
      </c>
      <c r="AM72">
        <v>0.11119999999999999</v>
      </c>
    </row>
    <row r="73" spans="1:39" x14ac:dyDescent="0.3">
      <c r="A73" t="s">
        <v>75</v>
      </c>
      <c r="B73">
        <v>4546.6665860000003</v>
      </c>
      <c r="C73">
        <v>6.4569000000000001E-2</v>
      </c>
      <c r="D73">
        <v>0</v>
      </c>
      <c r="E73">
        <v>64547.666590000001</v>
      </c>
      <c r="F73">
        <v>4546.6665860000003</v>
      </c>
      <c r="G73">
        <v>60001</v>
      </c>
      <c r="H73">
        <v>4546.6665860000003</v>
      </c>
      <c r="I73">
        <v>24.308913999999998</v>
      </c>
      <c r="K73">
        <v>1</v>
      </c>
      <c r="M73">
        <v>64547.666590000001</v>
      </c>
      <c r="N73">
        <v>64547.666590000001</v>
      </c>
      <c r="O73">
        <v>1</v>
      </c>
      <c r="Q73">
        <v>1</v>
      </c>
      <c r="R73">
        <v>1</v>
      </c>
      <c r="S73">
        <v>0</v>
      </c>
      <c r="T73">
        <v>0</v>
      </c>
      <c r="U73">
        <v>0</v>
      </c>
      <c r="V73">
        <v>0</v>
      </c>
      <c r="W73">
        <v>0</v>
      </c>
      <c r="X73">
        <v>20.129373999999999</v>
      </c>
      <c r="Z73">
        <v>4.1149709999999997</v>
      </c>
      <c r="AB73">
        <v>1</v>
      </c>
      <c r="AC73">
        <v>79</v>
      </c>
      <c r="AD73">
        <v>10</v>
      </c>
      <c r="AE73">
        <v>134</v>
      </c>
      <c r="AF73">
        <v>15</v>
      </c>
      <c r="AG73">
        <v>79</v>
      </c>
      <c r="AH73">
        <v>10</v>
      </c>
      <c r="AI73">
        <v>134</v>
      </c>
      <c r="AJ73">
        <v>15</v>
      </c>
      <c r="AK73">
        <v>2.202</v>
      </c>
      <c r="AL73">
        <v>16</v>
      </c>
      <c r="AM73">
        <v>0.137625</v>
      </c>
    </row>
    <row r="74" spans="1:39" x14ac:dyDescent="0.3">
      <c r="A74" t="s">
        <v>76</v>
      </c>
      <c r="B74">
        <v>4373.3333169999996</v>
      </c>
      <c r="C74">
        <v>1.9685000000000001E-2</v>
      </c>
      <c r="D74">
        <v>0</v>
      </c>
      <c r="E74">
        <v>64374.333319999998</v>
      </c>
      <c r="F74">
        <v>4373.3332469999996</v>
      </c>
      <c r="G74">
        <v>60001</v>
      </c>
      <c r="H74">
        <v>4373.3333169999996</v>
      </c>
      <c r="I74">
        <v>24.717399</v>
      </c>
      <c r="K74">
        <v>1</v>
      </c>
      <c r="M74">
        <v>64374.333250000003</v>
      </c>
      <c r="N74">
        <v>64374.333319999998</v>
      </c>
      <c r="O74">
        <v>1</v>
      </c>
      <c r="Q74">
        <v>1</v>
      </c>
      <c r="R74">
        <v>1</v>
      </c>
      <c r="S74">
        <v>0</v>
      </c>
      <c r="T74">
        <v>0</v>
      </c>
      <c r="U74">
        <v>0</v>
      </c>
      <c r="V74">
        <v>0</v>
      </c>
      <c r="W74">
        <v>0</v>
      </c>
      <c r="X74">
        <v>17.540841</v>
      </c>
      <c r="Z74">
        <v>7.156873</v>
      </c>
      <c r="AB74">
        <v>1</v>
      </c>
      <c r="AC74">
        <v>530</v>
      </c>
      <c r="AD74">
        <v>11</v>
      </c>
      <c r="AE74">
        <v>212</v>
      </c>
      <c r="AF74">
        <v>12</v>
      </c>
      <c r="AG74">
        <v>530</v>
      </c>
      <c r="AH74">
        <v>11</v>
      </c>
      <c r="AI74">
        <v>212</v>
      </c>
      <c r="AJ74">
        <v>12</v>
      </c>
      <c r="AK74">
        <v>1.655</v>
      </c>
      <c r="AL74">
        <v>13</v>
      </c>
      <c r="AM74">
        <v>0.127308</v>
      </c>
    </row>
    <row r="75" spans="1:39" x14ac:dyDescent="0.3">
      <c r="A75" t="s">
        <v>77</v>
      </c>
      <c r="B75">
        <v>4559.9995170000002</v>
      </c>
      <c r="C75">
        <v>2.5937000000000002E-2</v>
      </c>
      <c r="D75">
        <v>0</v>
      </c>
      <c r="E75">
        <v>64561.999519999998</v>
      </c>
      <c r="F75">
        <v>4559.9994919999999</v>
      </c>
      <c r="G75">
        <v>60002</v>
      </c>
      <c r="H75">
        <v>4559.9995170000002</v>
      </c>
      <c r="I75">
        <v>26.954788999999998</v>
      </c>
      <c r="K75">
        <v>1</v>
      </c>
      <c r="M75">
        <v>64561.999490000002</v>
      </c>
      <c r="N75">
        <v>64561.999519999998</v>
      </c>
      <c r="O75">
        <v>1</v>
      </c>
      <c r="Q75">
        <v>1</v>
      </c>
      <c r="R75">
        <v>1</v>
      </c>
      <c r="S75">
        <v>0</v>
      </c>
      <c r="T75">
        <v>0</v>
      </c>
      <c r="U75">
        <v>0</v>
      </c>
      <c r="V75">
        <v>0</v>
      </c>
      <c r="W75">
        <v>0</v>
      </c>
      <c r="X75">
        <v>25.802876999999999</v>
      </c>
      <c r="Z75">
        <v>1.1259749999999999</v>
      </c>
      <c r="AB75">
        <v>1</v>
      </c>
      <c r="AC75">
        <v>38</v>
      </c>
      <c r="AD75">
        <v>2</v>
      </c>
      <c r="AE75">
        <v>1</v>
      </c>
      <c r="AF75">
        <v>2</v>
      </c>
      <c r="AG75">
        <v>38</v>
      </c>
      <c r="AH75">
        <v>2</v>
      </c>
      <c r="AI75">
        <v>1</v>
      </c>
      <c r="AJ75">
        <v>2</v>
      </c>
      <c r="AK75">
        <v>0.3</v>
      </c>
      <c r="AL75">
        <v>3</v>
      </c>
      <c r="AM75">
        <v>0.1</v>
      </c>
    </row>
    <row r="76" spans="1:39" x14ac:dyDescent="0.3">
      <c r="A76" t="s">
        <v>78</v>
      </c>
      <c r="B76">
        <v>4719.9995220000001</v>
      </c>
      <c r="C76">
        <v>2.5954999999999999E-2</v>
      </c>
      <c r="D76">
        <v>0</v>
      </c>
      <c r="E76">
        <v>64721.999519999998</v>
      </c>
      <c r="F76">
        <v>4719.9992840000004</v>
      </c>
      <c r="G76">
        <v>60002</v>
      </c>
      <c r="H76">
        <v>4719.9995220000001</v>
      </c>
      <c r="I76">
        <v>27.982855999999998</v>
      </c>
      <c r="K76">
        <v>1</v>
      </c>
      <c r="M76">
        <v>64721.999280000004</v>
      </c>
      <c r="N76">
        <v>64721.999519999998</v>
      </c>
      <c r="O76">
        <v>1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18.375198000000001</v>
      </c>
      <c r="Z76">
        <v>9.5817029999999992</v>
      </c>
      <c r="AB76">
        <v>1</v>
      </c>
      <c r="AC76">
        <v>5167</v>
      </c>
      <c r="AD76">
        <v>1</v>
      </c>
      <c r="AE76">
        <v>77</v>
      </c>
      <c r="AF76">
        <v>14</v>
      </c>
      <c r="AG76">
        <v>5167</v>
      </c>
      <c r="AH76">
        <v>1</v>
      </c>
      <c r="AI76">
        <v>77</v>
      </c>
      <c r="AJ76">
        <v>14</v>
      </c>
      <c r="AK76">
        <v>1.7849999999999999</v>
      </c>
      <c r="AL76">
        <v>15</v>
      </c>
      <c r="AM76">
        <v>0.11899999999999999</v>
      </c>
    </row>
    <row r="77" spans="1:39" x14ac:dyDescent="0.3">
      <c r="A77" t="s">
        <v>79</v>
      </c>
      <c r="B77">
        <v>4603.3325580000001</v>
      </c>
      <c r="C77">
        <v>2.2797999999999999E-2</v>
      </c>
      <c r="D77">
        <v>0</v>
      </c>
      <c r="E77">
        <v>64606.332560000003</v>
      </c>
      <c r="F77">
        <v>4603.3325580000001</v>
      </c>
      <c r="G77">
        <v>60003</v>
      </c>
      <c r="H77">
        <v>4603.3325580000001</v>
      </c>
      <c r="I77">
        <v>26.462568000000001</v>
      </c>
      <c r="K77">
        <v>1</v>
      </c>
      <c r="M77">
        <v>64606.332560000003</v>
      </c>
      <c r="N77">
        <v>64606.332560000003</v>
      </c>
      <c r="O77">
        <v>1</v>
      </c>
      <c r="Q77">
        <v>1</v>
      </c>
      <c r="R77">
        <v>1</v>
      </c>
      <c r="S77">
        <v>0</v>
      </c>
      <c r="T77">
        <v>0</v>
      </c>
      <c r="U77">
        <v>0</v>
      </c>
      <c r="V77">
        <v>0</v>
      </c>
      <c r="W77">
        <v>0</v>
      </c>
      <c r="X77">
        <v>22.462553</v>
      </c>
      <c r="Z77">
        <v>3.977217</v>
      </c>
      <c r="AB77">
        <v>1</v>
      </c>
      <c r="AC77">
        <v>2136</v>
      </c>
      <c r="AD77">
        <v>4</v>
      </c>
      <c r="AE77">
        <v>57</v>
      </c>
      <c r="AF77">
        <v>1</v>
      </c>
      <c r="AG77">
        <v>2136</v>
      </c>
      <c r="AH77">
        <v>4</v>
      </c>
      <c r="AI77">
        <v>57</v>
      </c>
      <c r="AJ77">
        <v>1</v>
      </c>
      <c r="AK77">
        <v>0.20599999999999999</v>
      </c>
      <c r="AL77">
        <v>2</v>
      </c>
      <c r="AM77">
        <v>0.10299999999999999</v>
      </c>
    </row>
    <row r="78" spans="1:39" x14ac:dyDescent="0.3">
      <c r="A78" t="s">
        <v>80</v>
      </c>
      <c r="B78">
        <v>4849.9994459999998</v>
      </c>
      <c r="C78">
        <v>2.7171000000000001E-2</v>
      </c>
      <c r="D78">
        <v>0</v>
      </c>
      <c r="E78">
        <v>64852.999450000003</v>
      </c>
      <c r="F78">
        <v>4849.9994459999998</v>
      </c>
      <c r="G78">
        <v>60003</v>
      </c>
      <c r="H78">
        <v>4849.9994459999998</v>
      </c>
      <c r="I78">
        <v>27.656196999999999</v>
      </c>
      <c r="K78">
        <v>1</v>
      </c>
      <c r="M78">
        <v>64852.999450000003</v>
      </c>
      <c r="N78">
        <v>64852.999450000003</v>
      </c>
      <c r="O78">
        <v>1</v>
      </c>
      <c r="Q78">
        <v>1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23.468274000000001</v>
      </c>
      <c r="Z78">
        <v>4.1607519999999996</v>
      </c>
      <c r="AB78">
        <v>1</v>
      </c>
      <c r="AC78">
        <v>798</v>
      </c>
      <c r="AD78">
        <v>2</v>
      </c>
      <c r="AE78">
        <v>70</v>
      </c>
      <c r="AF78">
        <v>2</v>
      </c>
      <c r="AG78">
        <v>798</v>
      </c>
      <c r="AH78">
        <v>2</v>
      </c>
      <c r="AI78">
        <v>70</v>
      </c>
      <c r="AJ78">
        <v>2</v>
      </c>
      <c r="AK78">
        <v>0.35299999999999998</v>
      </c>
      <c r="AL78">
        <v>3</v>
      </c>
      <c r="AM78">
        <v>0.11766699999999999</v>
      </c>
    </row>
    <row r="79" spans="1:39" x14ac:dyDescent="0.3">
      <c r="A79" t="s">
        <v>81</v>
      </c>
      <c r="B79">
        <v>4506.6667260000004</v>
      </c>
      <c r="C79">
        <v>2.0358999999999999E-2</v>
      </c>
      <c r="D79">
        <v>0</v>
      </c>
      <c r="E79">
        <v>64508.666729999997</v>
      </c>
      <c r="F79">
        <v>4506.6667260000004</v>
      </c>
      <c r="G79">
        <v>60002</v>
      </c>
      <c r="H79">
        <v>4506.6667260000004</v>
      </c>
      <c r="I79">
        <v>26.118720999999997</v>
      </c>
      <c r="K79">
        <v>1</v>
      </c>
      <c r="M79">
        <v>64508.666729999997</v>
      </c>
      <c r="N79">
        <v>64508.666729999997</v>
      </c>
      <c r="O79">
        <v>1</v>
      </c>
      <c r="Q79">
        <v>1</v>
      </c>
      <c r="R79">
        <v>1</v>
      </c>
      <c r="S79">
        <v>0</v>
      </c>
      <c r="T79">
        <v>0</v>
      </c>
      <c r="U79">
        <v>0</v>
      </c>
      <c r="V79">
        <v>0</v>
      </c>
      <c r="W79">
        <v>0</v>
      </c>
      <c r="X79">
        <v>23.912161999999999</v>
      </c>
      <c r="Z79">
        <v>2.1861999999999999</v>
      </c>
      <c r="AB79">
        <v>1</v>
      </c>
      <c r="AC79">
        <v>294</v>
      </c>
      <c r="AD79">
        <v>6</v>
      </c>
      <c r="AE79">
        <v>101</v>
      </c>
      <c r="AF79">
        <v>1</v>
      </c>
      <c r="AG79">
        <v>294</v>
      </c>
      <c r="AH79">
        <v>6</v>
      </c>
      <c r="AI79">
        <v>101</v>
      </c>
      <c r="AJ79">
        <v>1</v>
      </c>
      <c r="AK79">
        <v>0.29399999999999998</v>
      </c>
      <c r="AL79">
        <v>2</v>
      </c>
      <c r="AM79">
        <v>0.14699999999999999</v>
      </c>
    </row>
    <row r="80" spans="1:39" x14ac:dyDescent="0.3">
      <c r="A80" t="s">
        <v>113</v>
      </c>
      <c r="B80">
        <v>4949.999452</v>
      </c>
      <c r="C80">
        <v>2.6582999999999999E-2</v>
      </c>
      <c r="D80">
        <v>0</v>
      </c>
      <c r="E80">
        <v>74950.999450000003</v>
      </c>
      <c r="F80">
        <v>4949.9994049999996</v>
      </c>
      <c r="G80">
        <v>70001</v>
      </c>
      <c r="H80">
        <v>4949.999452</v>
      </c>
      <c r="I80">
        <v>385.355008</v>
      </c>
      <c r="K80">
        <v>1</v>
      </c>
      <c r="M80">
        <v>74950.999410000004</v>
      </c>
      <c r="N80">
        <v>74950.999450000003</v>
      </c>
      <c r="O80">
        <v>1</v>
      </c>
      <c r="Q80">
        <v>1</v>
      </c>
      <c r="R80">
        <v>1</v>
      </c>
      <c r="S80">
        <v>0</v>
      </c>
      <c r="T80">
        <v>0</v>
      </c>
      <c r="U80">
        <v>0</v>
      </c>
      <c r="V80">
        <v>0</v>
      </c>
      <c r="W80">
        <v>0</v>
      </c>
      <c r="X80">
        <v>383.486602</v>
      </c>
      <c r="Z80">
        <v>1.841823</v>
      </c>
      <c r="AB80">
        <v>1</v>
      </c>
      <c r="AC80">
        <v>209</v>
      </c>
      <c r="AD80">
        <v>5</v>
      </c>
      <c r="AE80">
        <v>135</v>
      </c>
      <c r="AF80">
        <v>1</v>
      </c>
      <c r="AG80">
        <v>209</v>
      </c>
      <c r="AH80">
        <v>5</v>
      </c>
      <c r="AI80">
        <v>135</v>
      </c>
      <c r="AJ80">
        <v>1</v>
      </c>
      <c r="AK80">
        <v>0.34</v>
      </c>
      <c r="AL80">
        <v>3</v>
      </c>
      <c r="AM80">
        <v>0.113333</v>
      </c>
    </row>
    <row r="81" spans="1:39" x14ac:dyDescent="0.3">
      <c r="A81" t="s">
        <v>82</v>
      </c>
      <c r="B81">
        <v>4949.999452</v>
      </c>
      <c r="C81">
        <v>2.4639999999999999E-2</v>
      </c>
      <c r="D81">
        <v>0</v>
      </c>
      <c r="E81">
        <v>64951.999450000003</v>
      </c>
      <c r="F81">
        <v>4949.9994269999997</v>
      </c>
      <c r="G81">
        <v>60002</v>
      </c>
      <c r="H81">
        <v>4949.999452</v>
      </c>
      <c r="I81">
        <v>30.225594000000001</v>
      </c>
      <c r="K81">
        <v>1</v>
      </c>
      <c r="M81">
        <v>64951.999430000003</v>
      </c>
      <c r="N81">
        <v>64951.999450000003</v>
      </c>
      <c r="O81">
        <v>1</v>
      </c>
      <c r="Q81">
        <v>1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20.651809</v>
      </c>
      <c r="Z81">
        <v>9.5491449999999993</v>
      </c>
      <c r="AB81">
        <v>1</v>
      </c>
      <c r="AC81">
        <v>919</v>
      </c>
      <c r="AD81">
        <v>16</v>
      </c>
      <c r="AE81">
        <v>297</v>
      </c>
      <c r="AF81">
        <v>0</v>
      </c>
      <c r="AG81">
        <v>919</v>
      </c>
      <c r="AH81">
        <v>16</v>
      </c>
      <c r="AI81">
        <v>297</v>
      </c>
      <c r="AJ81">
        <v>0</v>
      </c>
      <c r="AK81">
        <v>0.11899999999999999</v>
      </c>
      <c r="AL81">
        <v>1</v>
      </c>
      <c r="AM81">
        <v>0.11899999999999999</v>
      </c>
    </row>
    <row r="82" spans="1:39" x14ac:dyDescent="0.3">
      <c r="A82" t="s">
        <v>121</v>
      </c>
      <c r="B82">
        <v>4373.3330969999997</v>
      </c>
      <c r="C82">
        <v>1.8768E-2</v>
      </c>
      <c r="D82">
        <v>0</v>
      </c>
      <c r="E82">
        <v>74374.333100000003</v>
      </c>
      <c r="F82">
        <v>4373.3330969999997</v>
      </c>
      <c r="G82">
        <v>70001</v>
      </c>
      <c r="H82">
        <v>4373.3330969999997</v>
      </c>
      <c r="I82">
        <v>2653.9344740000001</v>
      </c>
      <c r="K82">
        <v>1</v>
      </c>
      <c r="M82">
        <v>74374.333100000003</v>
      </c>
      <c r="N82">
        <v>74374.333100000003</v>
      </c>
      <c r="O82">
        <v>1</v>
      </c>
      <c r="Q82">
        <v>1</v>
      </c>
      <c r="R82">
        <v>1</v>
      </c>
      <c r="S82">
        <v>0</v>
      </c>
      <c r="T82">
        <v>0</v>
      </c>
      <c r="U82">
        <v>0</v>
      </c>
      <c r="V82">
        <v>0</v>
      </c>
      <c r="W82">
        <v>0</v>
      </c>
      <c r="X82">
        <v>2650.2756460000001</v>
      </c>
      <c r="Z82">
        <v>3.6400600000000001</v>
      </c>
      <c r="AB82">
        <v>1</v>
      </c>
      <c r="AC82">
        <v>56</v>
      </c>
      <c r="AD82">
        <v>4</v>
      </c>
      <c r="AE82">
        <v>31</v>
      </c>
      <c r="AF82">
        <v>11</v>
      </c>
      <c r="AG82">
        <v>56</v>
      </c>
      <c r="AH82">
        <v>4</v>
      </c>
      <c r="AI82">
        <v>31</v>
      </c>
      <c r="AJ82">
        <v>11</v>
      </c>
      <c r="AK82">
        <v>2.411</v>
      </c>
      <c r="AL82">
        <v>12</v>
      </c>
      <c r="AM82">
        <v>0.20091700000000001</v>
      </c>
    </row>
    <row r="83" spans="1:39" x14ac:dyDescent="0.3">
      <c r="A83" t="s">
        <v>96</v>
      </c>
      <c r="B83">
        <v>4829.9997030000004</v>
      </c>
      <c r="C83">
        <v>3.0067E-2</v>
      </c>
      <c r="D83">
        <v>0</v>
      </c>
      <c r="E83">
        <v>74830.9997</v>
      </c>
      <c r="F83">
        <v>4829.9999699999998</v>
      </c>
      <c r="G83">
        <v>70001</v>
      </c>
      <c r="H83">
        <v>4829.9997030000004</v>
      </c>
      <c r="I83">
        <v>100.846119</v>
      </c>
      <c r="K83">
        <v>1</v>
      </c>
      <c r="M83">
        <v>74830.999970000004</v>
      </c>
      <c r="N83">
        <v>74830.9997</v>
      </c>
      <c r="O83">
        <v>1</v>
      </c>
      <c r="Q83">
        <v>1</v>
      </c>
      <c r="R83">
        <v>1</v>
      </c>
      <c r="S83">
        <v>0</v>
      </c>
      <c r="T83">
        <v>0</v>
      </c>
      <c r="U83">
        <v>0</v>
      </c>
      <c r="V83">
        <v>0</v>
      </c>
      <c r="W83">
        <v>0</v>
      </c>
      <c r="X83">
        <v>98.571337999999997</v>
      </c>
      <c r="Z83">
        <v>2.2447140000000001</v>
      </c>
      <c r="AB83">
        <v>1</v>
      </c>
      <c r="AC83">
        <v>551</v>
      </c>
      <c r="AD83">
        <v>7</v>
      </c>
      <c r="AE83">
        <v>46</v>
      </c>
      <c r="AF83">
        <v>1</v>
      </c>
      <c r="AG83">
        <v>551</v>
      </c>
      <c r="AH83">
        <v>7</v>
      </c>
      <c r="AI83">
        <v>46</v>
      </c>
      <c r="AJ83">
        <v>1</v>
      </c>
      <c r="AK83">
        <v>0.20300000000000001</v>
      </c>
      <c r="AL83">
        <v>2</v>
      </c>
      <c r="AM83">
        <v>0.10150000000000001</v>
      </c>
    </row>
    <row r="84" spans="1:39" x14ac:dyDescent="0.3">
      <c r="A84" t="s">
        <v>83</v>
      </c>
      <c r="B84">
        <v>4603.3325580000001</v>
      </c>
      <c r="C84">
        <v>2.4062E-2</v>
      </c>
      <c r="D84">
        <v>0</v>
      </c>
      <c r="E84">
        <v>64604.332560000003</v>
      </c>
      <c r="F84">
        <v>4603.3325580000001</v>
      </c>
      <c r="G84">
        <v>60001</v>
      </c>
      <c r="H84">
        <v>4603.3325580000001</v>
      </c>
      <c r="I84">
        <v>36.121372000000001</v>
      </c>
      <c r="K84">
        <v>1</v>
      </c>
      <c r="M84">
        <v>64604.332560000003</v>
      </c>
      <c r="N84">
        <v>64604.332560000003</v>
      </c>
      <c r="O84">
        <v>1</v>
      </c>
      <c r="Q84">
        <v>1</v>
      </c>
      <c r="R84">
        <v>1</v>
      </c>
      <c r="S84">
        <v>0</v>
      </c>
      <c r="T84">
        <v>0</v>
      </c>
      <c r="U84">
        <v>0</v>
      </c>
      <c r="V84">
        <v>0</v>
      </c>
      <c r="W84">
        <v>0</v>
      </c>
      <c r="X84">
        <v>15.182311</v>
      </c>
      <c r="Z84">
        <v>20.914999000000002</v>
      </c>
      <c r="AB84">
        <v>1</v>
      </c>
      <c r="AC84">
        <v>3445</v>
      </c>
      <c r="AD84">
        <v>14</v>
      </c>
      <c r="AE84">
        <v>790</v>
      </c>
      <c r="AF84">
        <v>101</v>
      </c>
      <c r="AG84">
        <v>3445</v>
      </c>
      <c r="AH84">
        <v>14</v>
      </c>
      <c r="AI84">
        <v>790</v>
      </c>
      <c r="AJ84">
        <v>101</v>
      </c>
      <c r="AK84">
        <v>11.324999999999999</v>
      </c>
      <c r="AL84">
        <v>103</v>
      </c>
      <c r="AM84">
        <v>0.10995099999999999</v>
      </c>
    </row>
    <row r="85" spans="1:39" x14ac:dyDescent="0.3">
      <c r="A85" t="s">
        <v>84</v>
      </c>
      <c r="B85">
        <v>4423.3330669999996</v>
      </c>
      <c r="C85">
        <v>2.7496E-2</v>
      </c>
      <c r="D85">
        <v>0</v>
      </c>
      <c r="E85">
        <v>64427.333070000001</v>
      </c>
      <c r="F85">
        <v>4423.3330669999996</v>
      </c>
      <c r="G85">
        <v>60004</v>
      </c>
      <c r="H85">
        <v>4423.3330669999996</v>
      </c>
      <c r="I85">
        <v>37.306168999999997</v>
      </c>
      <c r="K85">
        <v>1</v>
      </c>
      <c r="M85">
        <v>64427.333070000001</v>
      </c>
      <c r="N85">
        <v>64427.333070000001</v>
      </c>
      <c r="O85">
        <v>1</v>
      </c>
      <c r="Q85">
        <v>1</v>
      </c>
      <c r="R85">
        <v>1</v>
      </c>
      <c r="S85">
        <v>0</v>
      </c>
      <c r="T85">
        <v>0</v>
      </c>
      <c r="U85">
        <v>0</v>
      </c>
      <c r="V85">
        <v>0</v>
      </c>
      <c r="W85">
        <v>0</v>
      </c>
      <c r="X85">
        <v>33.950221999999997</v>
      </c>
      <c r="Z85">
        <v>3.3284509999999998</v>
      </c>
      <c r="AB85">
        <v>1</v>
      </c>
      <c r="AC85">
        <v>386</v>
      </c>
      <c r="AD85">
        <v>3</v>
      </c>
      <c r="AE85">
        <v>255</v>
      </c>
      <c r="AF85">
        <v>9</v>
      </c>
      <c r="AG85">
        <v>386</v>
      </c>
      <c r="AH85">
        <v>3</v>
      </c>
      <c r="AI85">
        <v>255</v>
      </c>
      <c r="AJ85">
        <v>9</v>
      </c>
      <c r="AK85">
        <v>1.2250000000000001</v>
      </c>
      <c r="AL85">
        <v>10</v>
      </c>
      <c r="AM85">
        <v>0.1225</v>
      </c>
    </row>
    <row r="86" spans="1:39" x14ac:dyDescent="0.3">
      <c r="A86" t="s">
        <v>85</v>
      </c>
      <c r="B86">
        <v>4493.3327669999999</v>
      </c>
      <c r="C86">
        <v>1.9345999999999999E-2</v>
      </c>
      <c r="D86">
        <v>0</v>
      </c>
      <c r="E86">
        <v>64494.332770000001</v>
      </c>
      <c r="F86">
        <v>4493.3327639999998</v>
      </c>
      <c r="G86">
        <v>60001</v>
      </c>
      <c r="H86">
        <v>4493.3327669999999</v>
      </c>
      <c r="I86">
        <v>35.379518000000004</v>
      </c>
      <c r="K86">
        <v>1</v>
      </c>
      <c r="M86">
        <v>64494.332759999998</v>
      </c>
      <c r="N86">
        <v>64494.332770000001</v>
      </c>
      <c r="O86">
        <v>1</v>
      </c>
      <c r="Q86">
        <v>1</v>
      </c>
      <c r="R86">
        <v>1</v>
      </c>
      <c r="S86">
        <v>0</v>
      </c>
      <c r="T86">
        <v>0</v>
      </c>
      <c r="U86">
        <v>0</v>
      </c>
      <c r="V86">
        <v>0</v>
      </c>
      <c r="W86">
        <v>0</v>
      </c>
      <c r="X86">
        <v>17.536971000000001</v>
      </c>
      <c r="Z86">
        <v>17.823201000000001</v>
      </c>
      <c r="AB86">
        <v>1</v>
      </c>
      <c r="AC86">
        <v>1438</v>
      </c>
      <c r="AD86">
        <v>13</v>
      </c>
      <c r="AE86">
        <v>414</v>
      </c>
      <c r="AF86">
        <v>16</v>
      </c>
      <c r="AG86">
        <v>1438</v>
      </c>
      <c r="AH86">
        <v>13</v>
      </c>
      <c r="AI86">
        <v>414</v>
      </c>
      <c r="AJ86">
        <v>16</v>
      </c>
      <c r="AK86">
        <v>2.0720000000000001</v>
      </c>
      <c r="AL86">
        <v>17</v>
      </c>
      <c r="AM86">
        <v>0.121882</v>
      </c>
    </row>
    <row r="87" spans="1:39" x14ac:dyDescent="0.3">
      <c r="A87" t="s">
        <v>86</v>
      </c>
      <c r="B87">
        <v>4573.3333709999997</v>
      </c>
      <c r="C87">
        <v>2.4374E-2</v>
      </c>
      <c r="D87">
        <v>0</v>
      </c>
      <c r="E87">
        <v>64574.33337</v>
      </c>
      <c r="F87">
        <v>4573.3333709999997</v>
      </c>
      <c r="G87">
        <v>60001</v>
      </c>
      <c r="H87">
        <v>4573.3333709999997</v>
      </c>
      <c r="I87">
        <v>44.989470000000004</v>
      </c>
      <c r="K87">
        <v>1</v>
      </c>
      <c r="M87">
        <v>64574.33337</v>
      </c>
      <c r="N87">
        <v>64574.33337</v>
      </c>
      <c r="O87">
        <v>1</v>
      </c>
      <c r="Q87">
        <v>1</v>
      </c>
      <c r="R87">
        <v>1</v>
      </c>
      <c r="S87">
        <v>0</v>
      </c>
      <c r="T87">
        <v>0</v>
      </c>
      <c r="U87">
        <v>0</v>
      </c>
      <c r="V87">
        <v>0</v>
      </c>
      <c r="W87">
        <v>0</v>
      </c>
      <c r="X87">
        <v>41.917968999999999</v>
      </c>
      <c r="Z87">
        <v>3.0471270000000001</v>
      </c>
      <c r="AB87">
        <v>1</v>
      </c>
      <c r="AC87">
        <v>808</v>
      </c>
      <c r="AD87">
        <v>1</v>
      </c>
      <c r="AE87">
        <v>53</v>
      </c>
      <c r="AF87">
        <v>0</v>
      </c>
      <c r="AG87">
        <v>808</v>
      </c>
      <c r="AH87">
        <v>1</v>
      </c>
      <c r="AI87">
        <v>53</v>
      </c>
      <c r="AJ87">
        <v>0</v>
      </c>
      <c r="AK87">
        <v>0.105</v>
      </c>
      <c r="AL87">
        <v>1</v>
      </c>
      <c r="AM87">
        <v>0.105</v>
      </c>
    </row>
    <row r="88" spans="1:39" x14ac:dyDescent="0.3">
      <c r="A88" t="s">
        <v>87</v>
      </c>
      <c r="B88">
        <v>4519.9996709999996</v>
      </c>
      <c r="C88">
        <v>2.5003000000000001E-2</v>
      </c>
      <c r="D88">
        <v>0</v>
      </c>
      <c r="E88">
        <v>64520.999669999997</v>
      </c>
      <c r="F88">
        <v>4519.9994800000004</v>
      </c>
      <c r="G88">
        <v>60001</v>
      </c>
      <c r="H88">
        <v>4519.9996709999996</v>
      </c>
      <c r="I88">
        <v>45.675578999999999</v>
      </c>
      <c r="K88">
        <v>1</v>
      </c>
      <c r="M88">
        <v>64520.999479999999</v>
      </c>
      <c r="N88">
        <v>64520.999669999997</v>
      </c>
      <c r="O88">
        <v>1</v>
      </c>
      <c r="Q88">
        <v>1</v>
      </c>
      <c r="R88">
        <v>1</v>
      </c>
      <c r="S88">
        <v>0</v>
      </c>
      <c r="T88">
        <v>0</v>
      </c>
      <c r="U88">
        <v>0</v>
      </c>
      <c r="V88">
        <v>0</v>
      </c>
      <c r="W88">
        <v>0</v>
      </c>
      <c r="X88">
        <v>19.272580000000001</v>
      </c>
      <c r="Z88">
        <v>26.377996</v>
      </c>
      <c r="AB88">
        <v>1</v>
      </c>
      <c r="AC88">
        <v>4046</v>
      </c>
      <c r="AD88">
        <v>11</v>
      </c>
      <c r="AE88">
        <v>142</v>
      </c>
      <c r="AF88">
        <v>47</v>
      </c>
      <c r="AG88">
        <v>4046</v>
      </c>
      <c r="AH88">
        <v>11</v>
      </c>
      <c r="AI88">
        <v>142</v>
      </c>
      <c r="AJ88">
        <v>47</v>
      </c>
      <c r="AK88">
        <v>5.9180000000000001</v>
      </c>
      <c r="AL88">
        <v>48</v>
      </c>
      <c r="AM88">
        <v>0.123292</v>
      </c>
    </row>
    <row r="89" spans="1:39" x14ac:dyDescent="0.3">
      <c r="A89" t="s">
        <v>88</v>
      </c>
      <c r="B89">
        <v>4719.9995220000001</v>
      </c>
      <c r="C89">
        <v>2.6284999999999999E-2</v>
      </c>
      <c r="D89">
        <v>0</v>
      </c>
      <c r="E89">
        <v>64720.999519999998</v>
      </c>
      <c r="F89">
        <v>4719.999331</v>
      </c>
      <c r="G89">
        <v>60001</v>
      </c>
      <c r="H89">
        <v>4719.9995220000001</v>
      </c>
      <c r="I89">
        <v>54.561748000000001</v>
      </c>
      <c r="K89">
        <v>1</v>
      </c>
      <c r="M89">
        <v>64720.999329999999</v>
      </c>
      <c r="N89">
        <v>64720.999519999998</v>
      </c>
      <c r="O89">
        <v>1</v>
      </c>
      <c r="Q89">
        <v>1</v>
      </c>
      <c r="R89">
        <v>1</v>
      </c>
      <c r="S89">
        <v>0</v>
      </c>
      <c r="T89">
        <v>0</v>
      </c>
      <c r="U89">
        <v>0</v>
      </c>
      <c r="V89">
        <v>0</v>
      </c>
      <c r="W89">
        <v>0</v>
      </c>
      <c r="X89">
        <v>35.092148000000002</v>
      </c>
      <c r="Z89">
        <v>19.443314999999998</v>
      </c>
      <c r="AB89">
        <v>1</v>
      </c>
      <c r="AC89">
        <v>5219</v>
      </c>
      <c r="AD89">
        <v>8</v>
      </c>
      <c r="AE89">
        <v>134</v>
      </c>
      <c r="AF89">
        <v>10</v>
      </c>
      <c r="AG89">
        <v>5219</v>
      </c>
      <c r="AH89">
        <v>8</v>
      </c>
      <c r="AI89">
        <v>134</v>
      </c>
      <c r="AJ89">
        <v>10</v>
      </c>
      <c r="AK89">
        <v>1.9419999999999999</v>
      </c>
      <c r="AL89">
        <v>11</v>
      </c>
      <c r="AM89">
        <v>0.17654500000000001</v>
      </c>
    </row>
    <row r="90" spans="1:39" x14ac:dyDescent="0.3">
      <c r="A90" t="s">
        <v>89</v>
      </c>
      <c r="B90">
        <v>4849.9994459999998</v>
      </c>
      <c r="C90">
        <v>2.7696999999999999E-2</v>
      </c>
      <c r="D90">
        <v>0</v>
      </c>
      <c r="E90">
        <v>64851.999450000003</v>
      </c>
      <c r="F90">
        <v>4849.9994459999998</v>
      </c>
      <c r="G90">
        <v>60002</v>
      </c>
      <c r="H90">
        <v>4849.9994459999998</v>
      </c>
      <c r="I90">
        <v>50.413295000000005</v>
      </c>
      <c r="K90">
        <v>1</v>
      </c>
      <c r="M90">
        <v>64851.999450000003</v>
      </c>
      <c r="N90">
        <v>64851.999450000003</v>
      </c>
      <c r="O90">
        <v>1</v>
      </c>
      <c r="Q90">
        <v>1</v>
      </c>
      <c r="R90">
        <v>1</v>
      </c>
      <c r="S90">
        <v>0</v>
      </c>
      <c r="T90">
        <v>0</v>
      </c>
      <c r="U90">
        <v>0</v>
      </c>
      <c r="V90">
        <v>0</v>
      </c>
      <c r="W90">
        <v>0</v>
      </c>
      <c r="X90">
        <v>44.982556000000002</v>
      </c>
      <c r="Z90">
        <v>5.4030420000000001</v>
      </c>
      <c r="AB90">
        <v>1</v>
      </c>
      <c r="AC90">
        <v>133</v>
      </c>
      <c r="AD90">
        <v>1</v>
      </c>
      <c r="AE90">
        <v>34</v>
      </c>
      <c r="AF90">
        <v>10</v>
      </c>
      <c r="AG90">
        <v>133</v>
      </c>
      <c r="AH90">
        <v>1</v>
      </c>
      <c r="AI90">
        <v>34</v>
      </c>
      <c r="AJ90">
        <v>10</v>
      </c>
      <c r="AK90">
        <v>1.0680000000000001</v>
      </c>
      <c r="AL90">
        <v>11</v>
      </c>
      <c r="AM90">
        <v>9.7090999999999997E-2</v>
      </c>
    </row>
    <row r="91" spans="1:39" s="1" customFormat="1" x14ac:dyDescent="0.3">
      <c r="A91" s="1" t="s">
        <v>90</v>
      </c>
      <c r="B91" s="1">
        <v>4423.3330669999996</v>
      </c>
      <c r="C91" s="1">
        <v>2.5895999999999999E-2</v>
      </c>
      <c r="D91" s="1">
        <v>0</v>
      </c>
      <c r="E91" s="1">
        <v>74425.333069999993</v>
      </c>
      <c r="F91" s="1">
        <v>4423.3330669999996</v>
      </c>
      <c r="G91" s="1">
        <v>70002</v>
      </c>
      <c r="H91" s="1">
        <v>4423.3330669999996</v>
      </c>
      <c r="I91" s="1">
        <v>61.201272000000003</v>
      </c>
      <c r="K91" s="1">
        <v>1</v>
      </c>
      <c r="M91" s="1">
        <v>74425.333069999993</v>
      </c>
      <c r="N91" s="1">
        <v>74425.333069999993</v>
      </c>
      <c r="O91" s="1">
        <v>1</v>
      </c>
      <c r="Q91" s="1">
        <v>1</v>
      </c>
      <c r="R91" s="1">
        <v>1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59.111181000000002</v>
      </c>
      <c r="Z91" s="1">
        <v>2.0641949999999998</v>
      </c>
      <c r="AB91" s="1">
        <v>1</v>
      </c>
      <c r="AC91" s="1">
        <v>60</v>
      </c>
      <c r="AD91" s="1">
        <v>5</v>
      </c>
      <c r="AE91" s="1">
        <v>112</v>
      </c>
      <c r="AF91" s="1">
        <v>6</v>
      </c>
      <c r="AG91" s="1">
        <v>60</v>
      </c>
      <c r="AH91" s="1">
        <v>5</v>
      </c>
      <c r="AI91" s="1">
        <v>112</v>
      </c>
      <c r="AJ91" s="1">
        <v>6</v>
      </c>
      <c r="AK91" s="1">
        <v>0.89900000000000002</v>
      </c>
      <c r="AL91" s="1">
        <v>7</v>
      </c>
      <c r="AM91" s="1">
        <v>0.12842899999999999</v>
      </c>
    </row>
    <row r="92" spans="1:39" x14ac:dyDescent="0.3">
      <c r="A92" t="s">
        <v>91</v>
      </c>
      <c r="B92">
        <v>6159.9999610000004</v>
      </c>
      <c r="C92">
        <v>3.6241000000000002E-2</v>
      </c>
      <c r="D92">
        <v>0</v>
      </c>
      <c r="E92">
        <v>46160.999960000001</v>
      </c>
      <c r="F92">
        <v>6159.9998450000003</v>
      </c>
      <c r="G92">
        <v>40001</v>
      </c>
      <c r="H92">
        <v>6159.9999610000004</v>
      </c>
      <c r="I92">
        <v>38.129111000000002</v>
      </c>
      <c r="J92">
        <v>312.72638793103448</v>
      </c>
      <c r="K92">
        <v>1</v>
      </c>
      <c r="L92">
        <f>SUM(K92:K120)/29</f>
        <v>2</v>
      </c>
      <c r="M92">
        <v>46160.99985</v>
      </c>
      <c r="N92">
        <v>46160.999960000001</v>
      </c>
      <c r="O92">
        <v>1</v>
      </c>
      <c r="P92">
        <v>29</v>
      </c>
      <c r="Q92">
        <v>1</v>
      </c>
      <c r="R92">
        <v>1</v>
      </c>
      <c r="S92">
        <v>0</v>
      </c>
      <c r="T92">
        <v>0</v>
      </c>
      <c r="U92">
        <v>0</v>
      </c>
      <c r="V92">
        <v>0</v>
      </c>
      <c r="W92">
        <v>0</v>
      </c>
      <c r="X92">
        <v>14.172618</v>
      </c>
      <c r="Y92">
        <v>108.93182834482758</v>
      </c>
      <c r="Z92">
        <v>23.920252000000001</v>
      </c>
      <c r="AA92">
        <v>203.75806737931035</v>
      </c>
      <c r="AB92">
        <v>1</v>
      </c>
      <c r="AC92">
        <v>3077</v>
      </c>
      <c r="AD92">
        <v>14</v>
      </c>
      <c r="AE92">
        <v>202</v>
      </c>
      <c r="AF92">
        <v>4</v>
      </c>
      <c r="AG92">
        <v>3077</v>
      </c>
      <c r="AH92">
        <v>14</v>
      </c>
      <c r="AI92">
        <v>202</v>
      </c>
      <c r="AJ92">
        <v>4</v>
      </c>
      <c r="AK92">
        <v>1.292</v>
      </c>
      <c r="AL92">
        <v>5</v>
      </c>
      <c r="AM92">
        <v>0.25840000000000002</v>
      </c>
    </row>
    <row r="93" spans="1:39" x14ac:dyDescent="0.3">
      <c r="A93" t="s">
        <v>92</v>
      </c>
      <c r="B93">
        <v>6149.9999850000004</v>
      </c>
      <c r="C93">
        <v>3.3376000000000003E-2</v>
      </c>
      <c r="D93">
        <v>0</v>
      </c>
      <c r="E93">
        <v>46152.999989999997</v>
      </c>
      <c r="F93">
        <v>6149.9999180000004</v>
      </c>
      <c r="G93">
        <v>40003</v>
      </c>
      <c r="H93">
        <v>6149.9999850000004</v>
      </c>
      <c r="I93">
        <v>54.497849000000002</v>
      </c>
      <c r="K93">
        <v>1</v>
      </c>
      <c r="M93">
        <v>46152.999920000002</v>
      </c>
      <c r="N93">
        <v>46152.999989999997</v>
      </c>
      <c r="O93">
        <v>1</v>
      </c>
      <c r="Q93">
        <v>1</v>
      </c>
      <c r="R93">
        <v>1</v>
      </c>
      <c r="S93">
        <v>0</v>
      </c>
      <c r="T93">
        <v>0</v>
      </c>
      <c r="U93">
        <v>0</v>
      </c>
      <c r="V93">
        <v>0</v>
      </c>
      <c r="W93">
        <v>0</v>
      </c>
      <c r="X93">
        <v>33.653030000000001</v>
      </c>
      <c r="Z93">
        <v>20.811443000000001</v>
      </c>
      <c r="AB93">
        <v>1</v>
      </c>
      <c r="AC93">
        <v>2520</v>
      </c>
      <c r="AD93">
        <v>18</v>
      </c>
      <c r="AE93">
        <v>489</v>
      </c>
      <c r="AF93">
        <v>5</v>
      </c>
      <c r="AG93">
        <v>2520</v>
      </c>
      <c r="AH93">
        <v>18</v>
      </c>
      <c r="AI93">
        <v>489</v>
      </c>
      <c r="AJ93">
        <v>5</v>
      </c>
      <c r="AK93">
        <v>2.718</v>
      </c>
      <c r="AL93">
        <v>6</v>
      </c>
      <c r="AM93">
        <v>0.45300000000000001</v>
      </c>
    </row>
    <row r="94" spans="1:39" x14ac:dyDescent="0.3">
      <c r="A94" t="s">
        <v>93</v>
      </c>
      <c r="B94">
        <v>6079.99953</v>
      </c>
      <c r="C94">
        <v>3.6600000000000001E-2</v>
      </c>
      <c r="D94">
        <v>0</v>
      </c>
      <c r="E94">
        <v>46081.999530000001</v>
      </c>
      <c r="F94">
        <v>6079.9994589999997</v>
      </c>
      <c r="G94">
        <v>40002</v>
      </c>
      <c r="H94">
        <v>6079.99953</v>
      </c>
      <c r="I94">
        <v>61.347207999999995</v>
      </c>
      <c r="K94">
        <v>1</v>
      </c>
      <c r="M94">
        <v>46081.999459999999</v>
      </c>
      <c r="N94">
        <v>46081.999530000001</v>
      </c>
      <c r="O94">
        <v>1</v>
      </c>
      <c r="Q94">
        <v>1</v>
      </c>
      <c r="R94">
        <v>1</v>
      </c>
      <c r="S94">
        <v>0</v>
      </c>
      <c r="T94">
        <v>0</v>
      </c>
      <c r="U94">
        <v>0</v>
      </c>
      <c r="V94">
        <v>0</v>
      </c>
      <c r="W94">
        <v>0</v>
      </c>
      <c r="X94">
        <v>22.103551</v>
      </c>
      <c r="Z94">
        <v>39.207056999999999</v>
      </c>
      <c r="AB94">
        <v>1</v>
      </c>
      <c r="AC94">
        <v>6469</v>
      </c>
      <c r="AD94">
        <v>7</v>
      </c>
      <c r="AE94">
        <v>77</v>
      </c>
      <c r="AF94">
        <v>4</v>
      </c>
      <c r="AG94">
        <v>6469</v>
      </c>
      <c r="AH94">
        <v>7</v>
      </c>
      <c r="AI94">
        <v>77</v>
      </c>
      <c r="AJ94">
        <v>4</v>
      </c>
      <c r="AK94">
        <v>2.1419999999999999</v>
      </c>
      <c r="AL94">
        <v>5</v>
      </c>
      <c r="AM94">
        <v>0.4284</v>
      </c>
    </row>
    <row r="95" spans="1:39" x14ac:dyDescent="0.3">
      <c r="A95" t="s">
        <v>94</v>
      </c>
      <c r="B95">
        <v>6480.000043</v>
      </c>
      <c r="C95">
        <v>2.9378000000000001E-2</v>
      </c>
      <c r="D95">
        <v>0</v>
      </c>
      <c r="E95">
        <v>56481.000039999999</v>
      </c>
      <c r="F95">
        <v>6479.9997860000003</v>
      </c>
      <c r="G95">
        <v>50001</v>
      </c>
      <c r="H95">
        <v>6480.000043</v>
      </c>
      <c r="I95">
        <v>59.475484000000009</v>
      </c>
      <c r="K95">
        <v>1</v>
      </c>
      <c r="M95">
        <v>56480.999790000002</v>
      </c>
      <c r="N95">
        <v>56481.000039999999</v>
      </c>
      <c r="O95">
        <v>1</v>
      </c>
      <c r="Q95">
        <v>1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32.010271000000003</v>
      </c>
      <c r="Z95">
        <v>27.435835000000001</v>
      </c>
      <c r="AB95">
        <v>1</v>
      </c>
      <c r="AC95">
        <v>1211</v>
      </c>
      <c r="AD95">
        <v>6</v>
      </c>
      <c r="AE95">
        <v>89</v>
      </c>
      <c r="AF95">
        <v>1</v>
      </c>
      <c r="AG95">
        <v>1211</v>
      </c>
      <c r="AH95">
        <v>6</v>
      </c>
      <c r="AI95">
        <v>89</v>
      </c>
      <c r="AJ95">
        <v>1</v>
      </c>
      <c r="AK95">
        <v>0.53400000000000003</v>
      </c>
      <c r="AL95">
        <v>2</v>
      </c>
      <c r="AM95">
        <v>0.26700000000000002</v>
      </c>
    </row>
    <row r="96" spans="1:39" x14ac:dyDescent="0.3">
      <c r="A96" t="s">
        <v>95</v>
      </c>
      <c r="B96">
        <v>6159.9997039999998</v>
      </c>
      <c r="C96">
        <v>3.8376E-2</v>
      </c>
      <c r="D96">
        <v>0</v>
      </c>
      <c r="E96">
        <v>56160.9997</v>
      </c>
      <c r="F96">
        <v>6159.9997039999998</v>
      </c>
      <c r="G96">
        <v>50001</v>
      </c>
      <c r="H96">
        <v>6159.9997039999998</v>
      </c>
      <c r="I96">
        <v>60.816913</v>
      </c>
      <c r="K96">
        <v>1</v>
      </c>
      <c r="M96">
        <v>56160.9997</v>
      </c>
      <c r="N96">
        <v>56160.9997</v>
      </c>
      <c r="O96">
        <v>1</v>
      </c>
      <c r="Q96">
        <v>1</v>
      </c>
      <c r="R96">
        <v>1</v>
      </c>
      <c r="S96">
        <v>0</v>
      </c>
      <c r="T96">
        <v>0</v>
      </c>
      <c r="U96">
        <v>0</v>
      </c>
      <c r="V96">
        <v>0</v>
      </c>
      <c r="W96">
        <v>0</v>
      </c>
      <c r="X96">
        <v>34.714655</v>
      </c>
      <c r="Z96">
        <v>26.063882</v>
      </c>
      <c r="AB96">
        <v>1</v>
      </c>
      <c r="AC96">
        <v>303</v>
      </c>
      <c r="AD96">
        <v>13</v>
      </c>
      <c r="AE96">
        <v>441</v>
      </c>
      <c r="AF96">
        <v>19</v>
      </c>
      <c r="AG96">
        <v>303</v>
      </c>
      <c r="AH96">
        <v>13</v>
      </c>
      <c r="AI96">
        <v>441</v>
      </c>
      <c r="AJ96">
        <v>19</v>
      </c>
      <c r="AK96">
        <v>7.5810000000000004</v>
      </c>
      <c r="AL96">
        <v>20</v>
      </c>
      <c r="AM96">
        <v>0.37905</v>
      </c>
    </row>
    <row r="97" spans="1:39" x14ac:dyDescent="0.3">
      <c r="A97" t="s">
        <v>97</v>
      </c>
      <c r="B97">
        <v>5999.9993919999997</v>
      </c>
      <c r="C97">
        <v>3.4056000000000003E-2</v>
      </c>
      <c r="D97">
        <v>0</v>
      </c>
      <c r="E97">
        <v>46001.999389999997</v>
      </c>
      <c r="F97">
        <v>5999.9993919999997</v>
      </c>
      <c r="G97">
        <v>40002</v>
      </c>
      <c r="H97">
        <v>5999.9993919999997</v>
      </c>
      <c r="I97">
        <v>75.125788999999997</v>
      </c>
      <c r="K97">
        <v>1</v>
      </c>
      <c r="M97">
        <v>46001.999389999997</v>
      </c>
      <c r="N97">
        <v>46001.999389999997</v>
      </c>
      <c r="O97">
        <v>1</v>
      </c>
      <c r="Q97">
        <v>1</v>
      </c>
      <c r="R97">
        <v>1</v>
      </c>
      <c r="S97">
        <v>0</v>
      </c>
      <c r="T97">
        <v>0</v>
      </c>
      <c r="U97">
        <v>0</v>
      </c>
      <c r="V97">
        <v>0</v>
      </c>
      <c r="W97">
        <v>0</v>
      </c>
      <c r="X97">
        <v>28.581962999999998</v>
      </c>
      <c r="Z97">
        <v>46.509770000000003</v>
      </c>
      <c r="AB97">
        <v>1</v>
      </c>
      <c r="AC97">
        <v>5504</v>
      </c>
      <c r="AD97">
        <v>21</v>
      </c>
      <c r="AE97">
        <v>524</v>
      </c>
      <c r="AF97">
        <v>19</v>
      </c>
      <c r="AG97">
        <v>5504</v>
      </c>
      <c r="AH97">
        <v>21</v>
      </c>
      <c r="AI97">
        <v>524</v>
      </c>
      <c r="AJ97">
        <v>19</v>
      </c>
      <c r="AK97">
        <v>6.2569999999999997</v>
      </c>
      <c r="AL97">
        <v>20</v>
      </c>
      <c r="AM97">
        <v>0.31285000000000002</v>
      </c>
    </row>
    <row r="98" spans="1:39" x14ac:dyDescent="0.3">
      <c r="A98" t="s">
        <v>98</v>
      </c>
      <c r="B98">
        <v>6129.9999589999998</v>
      </c>
      <c r="C98">
        <v>3.5242999999999997E-2</v>
      </c>
      <c r="D98">
        <v>0</v>
      </c>
      <c r="E98">
        <v>46131.999960000001</v>
      </c>
      <c r="F98">
        <v>6129.9999109999999</v>
      </c>
      <c r="G98">
        <v>40002</v>
      </c>
      <c r="H98">
        <v>6129.9999589999998</v>
      </c>
      <c r="I98">
        <v>75.101393999999999</v>
      </c>
      <c r="K98">
        <v>1</v>
      </c>
      <c r="M98">
        <v>46131.999909999999</v>
      </c>
      <c r="N98">
        <v>46131.999960000001</v>
      </c>
      <c r="O98">
        <v>1</v>
      </c>
      <c r="Q98">
        <v>1</v>
      </c>
      <c r="R98">
        <v>1</v>
      </c>
      <c r="S98">
        <v>0</v>
      </c>
      <c r="T98">
        <v>0</v>
      </c>
      <c r="U98">
        <v>0</v>
      </c>
      <c r="V98">
        <v>0</v>
      </c>
      <c r="W98">
        <v>0</v>
      </c>
      <c r="X98">
        <v>31.411235000000001</v>
      </c>
      <c r="Z98">
        <v>43.654916</v>
      </c>
      <c r="AB98">
        <v>1</v>
      </c>
      <c r="AC98">
        <v>1861</v>
      </c>
      <c r="AD98">
        <v>38</v>
      </c>
      <c r="AE98">
        <v>1610</v>
      </c>
      <c r="AF98">
        <v>11</v>
      </c>
      <c r="AG98">
        <v>1861</v>
      </c>
      <c r="AH98">
        <v>38</v>
      </c>
      <c r="AI98">
        <v>1610</v>
      </c>
      <c r="AJ98">
        <v>11</v>
      </c>
      <c r="AK98">
        <v>4.1189999999999998</v>
      </c>
      <c r="AL98">
        <v>13</v>
      </c>
      <c r="AM98">
        <v>0.31684600000000002</v>
      </c>
    </row>
    <row r="99" spans="1:39" x14ac:dyDescent="0.3">
      <c r="A99" t="s">
        <v>99</v>
      </c>
      <c r="B99">
        <v>6159.9995200000003</v>
      </c>
      <c r="C99">
        <v>3.4424999999999997E-2</v>
      </c>
      <c r="D99">
        <v>0</v>
      </c>
      <c r="E99">
        <v>46161.999519999998</v>
      </c>
      <c r="F99">
        <v>6159.9995200000003</v>
      </c>
      <c r="G99">
        <v>40002</v>
      </c>
      <c r="H99">
        <v>6159.9995200000003</v>
      </c>
      <c r="I99">
        <v>44.232706</v>
      </c>
      <c r="K99">
        <v>1</v>
      </c>
      <c r="M99">
        <v>46161.999519999998</v>
      </c>
      <c r="N99">
        <v>46161.999519999998</v>
      </c>
      <c r="O99">
        <v>1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14.35205</v>
      </c>
      <c r="Z99">
        <v>29.846231</v>
      </c>
      <c r="AB99">
        <v>1</v>
      </c>
      <c r="AC99">
        <v>1778</v>
      </c>
      <c r="AD99">
        <v>12</v>
      </c>
      <c r="AE99">
        <v>124</v>
      </c>
      <c r="AF99">
        <v>1</v>
      </c>
      <c r="AG99">
        <v>1778</v>
      </c>
      <c r="AH99">
        <v>12</v>
      </c>
      <c r="AI99">
        <v>124</v>
      </c>
      <c r="AJ99">
        <v>1</v>
      </c>
      <c r="AK99">
        <v>0.91700000000000004</v>
      </c>
      <c r="AL99">
        <v>2</v>
      </c>
      <c r="AM99">
        <v>0.45850000000000002</v>
      </c>
    </row>
    <row r="100" spans="1:39" x14ac:dyDescent="0.3">
      <c r="A100" t="s">
        <v>100</v>
      </c>
      <c r="B100">
        <v>6519.9997899999998</v>
      </c>
      <c r="C100">
        <v>3.6537E-2</v>
      </c>
      <c r="D100">
        <v>0</v>
      </c>
      <c r="E100">
        <v>46521.999790000002</v>
      </c>
      <c r="F100">
        <v>6519.9997880000001</v>
      </c>
      <c r="G100">
        <v>40002</v>
      </c>
      <c r="H100">
        <v>6519.9997899999998</v>
      </c>
      <c r="I100">
        <v>101.34897000000001</v>
      </c>
      <c r="K100">
        <v>1</v>
      </c>
      <c r="M100">
        <v>46521.999790000002</v>
      </c>
      <c r="N100">
        <v>46521.999790000002</v>
      </c>
      <c r="O100">
        <v>1</v>
      </c>
      <c r="Q100">
        <v>1</v>
      </c>
      <c r="R100">
        <v>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27.315694000000001</v>
      </c>
      <c r="Z100">
        <v>73.996739000000005</v>
      </c>
      <c r="AB100">
        <v>1</v>
      </c>
      <c r="AC100">
        <v>3565</v>
      </c>
      <c r="AD100">
        <v>37</v>
      </c>
      <c r="AE100">
        <v>1806</v>
      </c>
      <c r="AF100">
        <v>8</v>
      </c>
      <c r="AG100">
        <v>3565</v>
      </c>
      <c r="AH100">
        <v>37</v>
      </c>
      <c r="AI100">
        <v>1806</v>
      </c>
      <c r="AJ100">
        <v>8</v>
      </c>
      <c r="AK100">
        <v>3.278</v>
      </c>
      <c r="AL100">
        <v>12</v>
      </c>
      <c r="AM100">
        <v>0.27316699999999999</v>
      </c>
    </row>
    <row r="101" spans="1:39" x14ac:dyDescent="0.3">
      <c r="A101" t="s">
        <v>101</v>
      </c>
      <c r="B101">
        <v>6539.9992110000003</v>
      </c>
      <c r="C101">
        <v>3.1843999999999997E-2</v>
      </c>
      <c r="D101">
        <v>0</v>
      </c>
      <c r="E101">
        <v>46541.999210000002</v>
      </c>
      <c r="F101">
        <v>6539.9992110000003</v>
      </c>
      <c r="G101">
        <v>40002</v>
      </c>
      <c r="H101">
        <v>6539.9992110000003</v>
      </c>
      <c r="I101">
        <v>104.628057</v>
      </c>
      <c r="K101">
        <v>1</v>
      </c>
      <c r="M101">
        <v>46541.999210000002</v>
      </c>
      <c r="N101">
        <v>46541.999210000002</v>
      </c>
      <c r="O101">
        <v>1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34.193407999999998</v>
      </c>
      <c r="Z101">
        <v>70.402805000000001</v>
      </c>
      <c r="AB101">
        <v>1</v>
      </c>
      <c r="AC101">
        <v>4334</v>
      </c>
      <c r="AD101">
        <v>27</v>
      </c>
      <c r="AE101">
        <v>1537</v>
      </c>
      <c r="AF101">
        <v>56</v>
      </c>
      <c r="AG101">
        <v>4334</v>
      </c>
      <c r="AH101">
        <v>27</v>
      </c>
      <c r="AI101">
        <v>1537</v>
      </c>
      <c r="AJ101">
        <v>56</v>
      </c>
      <c r="AK101">
        <v>15.75</v>
      </c>
      <c r="AL101">
        <v>58</v>
      </c>
      <c r="AM101">
        <v>0.27155200000000002</v>
      </c>
    </row>
    <row r="102" spans="1:39" x14ac:dyDescent="0.3">
      <c r="A102" t="s">
        <v>102</v>
      </c>
      <c r="B102">
        <v>6169.9993130000003</v>
      </c>
      <c r="C102">
        <v>3.8698999999999997E-2</v>
      </c>
      <c r="D102">
        <v>0</v>
      </c>
      <c r="E102">
        <v>46171.999309999999</v>
      </c>
      <c r="F102">
        <v>6169.9993009999998</v>
      </c>
      <c r="G102">
        <v>40002</v>
      </c>
      <c r="H102">
        <v>6169.9993130000003</v>
      </c>
      <c r="I102">
        <v>55.838368000000003</v>
      </c>
      <c r="K102">
        <v>1</v>
      </c>
      <c r="M102">
        <v>46171.999300000003</v>
      </c>
      <c r="N102">
        <v>46171.999309999999</v>
      </c>
      <c r="O102">
        <v>1</v>
      </c>
      <c r="Q102">
        <v>1</v>
      </c>
      <c r="R102">
        <v>1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23.966867000000001</v>
      </c>
      <c r="Z102">
        <v>31.832802000000001</v>
      </c>
      <c r="AB102">
        <v>1</v>
      </c>
      <c r="AC102">
        <v>4611</v>
      </c>
      <c r="AD102">
        <v>5</v>
      </c>
      <c r="AE102">
        <v>133</v>
      </c>
      <c r="AF102">
        <v>11</v>
      </c>
      <c r="AG102">
        <v>4611</v>
      </c>
      <c r="AH102">
        <v>5</v>
      </c>
      <c r="AI102">
        <v>133</v>
      </c>
      <c r="AJ102">
        <v>11</v>
      </c>
      <c r="AK102">
        <v>4.8239999999999998</v>
      </c>
      <c r="AL102">
        <v>12</v>
      </c>
      <c r="AM102">
        <v>0.40200000000000002</v>
      </c>
    </row>
    <row r="103" spans="1:39" x14ac:dyDescent="0.3">
      <c r="A103" t="s">
        <v>103</v>
      </c>
      <c r="B103">
        <v>6169.9997720000001</v>
      </c>
      <c r="C103">
        <v>3.6826999999999999E-2</v>
      </c>
      <c r="D103">
        <v>0</v>
      </c>
      <c r="E103">
        <v>56170.999770000002</v>
      </c>
      <c r="F103">
        <v>6169.9997229999999</v>
      </c>
      <c r="G103">
        <v>50001</v>
      </c>
      <c r="H103">
        <v>6169.9997720000001</v>
      </c>
      <c r="I103">
        <v>57.313987000000004</v>
      </c>
      <c r="K103">
        <v>1</v>
      </c>
      <c r="M103">
        <v>56170.99972</v>
      </c>
      <c r="N103">
        <v>56170.999770000002</v>
      </c>
      <c r="O103">
        <v>1</v>
      </c>
      <c r="Q103">
        <v>1</v>
      </c>
      <c r="R103">
        <v>1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43.230116000000002</v>
      </c>
      <c r="Z103">
        <v>14.047044</v>
      </c>
      <c r="AB103">
        <v>1</v>
      </c>
      <c r="AC103">
        <v>498</v>
      </c>
      <c r="AD103">
        <v>4</v>
      </c>
      <c r="AE103">
        <v>138</v>
      </c>
      <c r="AF103">
        <v>2</v>
      </c>
      <c r="AG103">
        <v>498</v>
      </c>
      <c r="AH103">
        <v>4</v>
      </c>
      <c r="AI103">
        <v>138</v>
      </c>
      <c r="AJ103">
        <v>2</v>
      </c>
      <c r="AK103">
        <v>2.0790000000000002</v>
      </c>
      <c r="AL103">
        <v>6</v>
      </c>
      <c r="AM103">
        <v>0.34649999999999997</v>
      </c>
    </row>
    <row r="104" spans="1:39" x14ac:dyDescent="0.3">
      <c r="A104" t="s">
        <v>104</v>
      </c>
      <c r="B104">
        <v>6039.9997530000001</v>
      </c>
      <c r="C104">
        <v>3.1592000000000002E-2</v>
      </c>
      <c r="D104">
        <v>0</v>
      </c>
      <c r="E104">
        <v>46041.999750000003</v>
      </c>
      <c r="F104">
        <v>6039.9997229999999</v>
      </c>
      <c r="G104">
        <v>40002</v>
      </c>
      <c r="H104">
        <v>6039.9997530000001</v>
      </c>
      <c r="I104">
        <v>54.809371999999996</v>
      </c>
      <c r="K104">
        <v>1</v>
      </c>
      <c r="M104">
        <v>46041.99972</v>
      </c>
      <c r="N104">
        <v>46041.999750000003</v>
      </c>
      <c r="O104">
        <v>1</v>
      </c>
      <c r="Q104">
        <v>1</v>
      </c>
      <c r="R104">
        <v>1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25.369751999999998</v>
      </c>
      <c r="Z104">
        <v>29.408028000000002</v>
      </c>
      <c r="AB104">
        <v>1</v>
      </c>
      <c r="AC104">
        <v>5995</v>
      </c>
      <c r="AD104">
        <v>6</v>
      </c>
      <c r="AE104">
        <v>18</v>
      </c>
      <c r="AF104">
        <v>0</v>
      </c>
      <c r="AG104">
        <v>5995</v>
      </c>
      <c r="AH104">
        <v>6</v>
      </c>
      <c r="AI104">
        <v>18</v>
      </c>
      <c r="AJ104">
        <v>0</v>
      </c>
      <c r="AK104">
        <v>0.29299999999999998</v>
      </c>
      <c r="AL104">
        <v>1</v>
      </c>
      <c r="AM104">
        <v>0.29299999999999998</v>
      </c>
    </row>
    <row r="105" spans="1:39" x14ac:dyDescent="0.3">
      <c r="A105" t="s">
        <v>105</v>
      </c>
      <c r="B105">
        <v>6150.0007329999999</v>
      </c>
      <c r="C105">
        <v>3.1425000000000002E-2</v>
      </c>
      <c r="D105">
        <v>0</v>
      </c>
      <c r="E105">
        <v>46151.00073</v>
      </c>
      <c r="F105">
        <v>6150.000626</v>
      </c>
      <c r="G105">
        <v>40001</v>
      </c>
      <c r="H105">
        <v>6150.0007329999999</v>
      </c>
      <c r="I105">
        <v>59.237339999999996</v>
      </c>
      <c r="K105">
        <v>1</v>
      </c>
      <c r="M105">
        <v>46151.000630000002</v>
      </c>
      <c r="N105">
        <v>46151.00073</v>
      </c>
      <c r="O105">
        <v>1</v>
      </c>
      <c r="Q105">
        <v>1</v>
      </c>
      <c r="R105">
        <v>1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25.219493</v>
      </c>
      <c r="Z105">
        <v>33.986421999999997</v>
      </c>
      <c r="AB105">
        <v>1</v>
      </c>
      <c r="AC105">
        <v>1811</v>
      </c>
      <c r="AD105">
        <v>8</v>
      </c>
      <c r="AE105">
        <v>215</v>
      </c>
      <c r="AF105">
        <v>7</v>
      </c>
      <c r="AG105">
        <v>1811</v>
      </c>
      <c r="AH105">
        <v>8</v>
      </c>
      <c r="AI105">
        <v>215</v>
      </c>
      <c r="AJ105">
        <v>7</v>
      </c>
      <c r="AK105">
        <v>3.06</v>
      </c>
      <c r="AL105">
        <v>8</v>
      </c>
      <c r="AM105">
        <v>0.38250000000000001</v>
      </c>
    </row>
    <row r="106" spans="1:39" x14ac:dyDescent="0.3">
      <c r="A106" t="s">
        <v>106</v>
      </c>
      <c r="B106">
        <v>6119.9992899999997</v>
      </c>
      <c r="C106">
        <v>5.1417999999999998E-2</v>
      </c>
      <c r="D106">
        <v>0</v>
      </c>
      <c r="E106">
        <v>46122.99929</v>
      </c>
      <c r="F106">
        <v>6119.9992759999996</v>
      </c>
      <c r="G106">
        <v>40003</v>
      </c>
      <c r="H106">
        <v>6119.9992899999997</v>
      </c>
      <c r="I106">
        <v>109.44438</v>
      </c>
      <c r="K106">
        <v>1</v>
      </c>
      <c r="M106">
        <v>46122.999280000004</v>
      </c>
      <c r="N106">
        <v>46122.99929</v>
      </c>
      <c r="O106">
        <v>1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38.255882999999997</v>
      </c>
      <c r="Z106">
        <v>71.137079</v>
      </c>
      <c r="AB106">
        <v>1</v>
      </c>
      <c r="AC106">
        <v>7324</v>
      </c>
      <c r="AD106">
        <v>34</v>
      </c>
      <c r="AE106">
        <v>1688</v>
      </c>
      <c r="AF106">
        <v>22</v>
      </c>
      <c r="AG106">
        <v>7324</v>
      </c>
      <c r="AH106">
        <v>34</v>
      </c>
      <c r="AI106">
        <v>1688</v>
      </c>
      <c r="AJ106">
        <v>22</v>
      </c>
      <c r="AK106">
        <v>8.798</v>
      </c>
      <c r="AL106">
        <v>23</v>
      </c>
      <c r="AM106">
        <v>0.38252199999999997</v>
      </c>
    </row>
    <row r="107" spans="1:39" x14ac:dyDescent="0.3">
      <c r="A107" t="s">
        <v>107</v>
      </c>
      <c r="B107">
        <v>6219.9998969999997</v>
      </c>
      <c r="C107">
        <v>3.2964E-2</v>
      </c>
      <c r="D107">
        <v>0</v>
      </c>
      <c r="E107">
        <v>46221.999900000003</v>
      </c>
      <c r="F107">
        <v>6219.9998969999997</v>
      </c>
      <c r="G107">
        <v>40002</v>
      </c>
      <c r="H107">
        <v>6219.9998969999997</v>
      </c>
      <c r="I107">
        <v>118.132087</v>
      </c>
      <c r="K107">
        <v>1</v>
      </c>
      <c r="M107">
        <v>46221.999900000003</v>
      </c>
      <c r="N107">
        <v>46221.999900000003</v>
      </c>
      <c r="O107">
        <v>1</v>
      </c>
      <c r="Q107">
        <v>1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45.434418999999998</v>
      </c>
      <c r="Z107">
        <v>72.664704</v>
      </c>
      <c r="AB107">
        <v>1</v>
      </c>
      <c r="AC107">
        <v>6696</v>
      </c>
      <c r="AD107">
        <v>7</v>
      </c>
      <c r="AE107">
        <v>327</v>
      </c>
      <c r="AF107">
        <v>90</v>
      </c>
      <c r="AG107">
        <v>6696</v>
      </c>
      <c r="AH107">
        <v>7</v>
      </c>
      <c r="AI107">
        <v>327</v>
      </c>
      <c r="AJ107">
        <v>90</v>
      </c>
      <c r="AK107">
        <v>23.75</v>
      </c>
      <c r="AL107">
        <v>91</v>
      </c>
      <c r="AM107">
        <v>0.26098900000000003</v>
      </c>
    </row>
    <row r="108" spans="1:39" x14ac:dyDescent="0.3">
      <c r="A108" t="s">
        <v>108</v>
      </c>
      <c r="B108">
        <v>6149.9999760000001</v>
      </c>
      <c r="C108">
        <v>7.8815999999999997E-2</v>
      </c>
      <c r="D108">
        <v>0</v>
      </c>
      <c r="E108">
        <v>46151.999980000001</v>
      </c>
      <c r="F108">
        <v>6149.9998919999998</v>
      </c>
      <c r="G108">
        <v>40002</v>
      </c>
      <c r="H108">
        <v>6149.9999760000001</v>
      </c>
      <c r="I108">
        <v>83.963665000000006</v>
      </c>
      <c r="K108">
        <v>1</v>
      </c>
      <c r="M108">
        <v>46151.999889999999</v>
      </c>
      <c r="N108">
        <v>46151.999980000001</v>
      </c>
      <c r="O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42.475504000000001</v>
      </c>
      <c r="Z108">
        <v>41.409345000000002</v>
      </c>
      <c r="AB108">
        <v>1</v>
      </c>
      <c r="AC108">
        <v>3056</v>
      </c>
      <c r="AD108">
        <v>15</v>
      </c>
      <c r="AE108">
        <v>334</v>
      </c>
      <c r="AF108">
        <v>10</v>
      </c>
      <c r="AG108">
        <v>3056</v>
      </c>
      <c r="AH108">
        <v>15</v>
      </c>
      <c r="AI108">
        <v>334</v>
      </c>
      <c r="AJ108">
        <v>10</v>
      </c>
      <c r="AK108">
        <v>2.9870000000000001</v>
      </c>
      <c r="AL108">
        <v>11</v>
      </c>
      <c r="AM108">
        <v>0.27154499999999998</v>
      </c>
    </row>
    <row r="109" spans="1:39" x14ac:dyDescent="0.3">
      <c r="A109" t="s">
        <v>109</v>
      </c>
      <c r="B109">
        <v>6519.9999809999999</v>
      </c>
      <c r="C109">
        <v>3.9409E-2</v>
      </c>
      <c r="D109">
        <v>0</v>
      </c>
      <c r="E109">
        <v>46521.999980000001</v>
      </c>
      <c r="F109">
        <v>6519.9999809999999</v>
      </c>
      <c r="G109">
        <v>40002</v>
      </c>
      <c r="H109">
        <v>6519.9999809999999</v>
      </c>
      <c r="I109">
        <v>149.29098399999998</v>
      </c>
      <c r="K109">
        <v>2</v>
      </c>
      <c r="M109">
        <v>46521.999980000001</v>
      </c>
      <c r="N109">
        <v>46521.999980000001</v>
      </c>
      <c r="O109">
        <v>1</v>
      </c>
      <c r="Q109">
        <v>1</v>
      </c>
      <c r="R109">
        <v>1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56.244160999999998</v>
      </c>
      <c r="Z109">
        <v>93.007413999999997</v>
      </c>
      <c r="AB109">
        <v>2</v>
      </c>
      <c r="AC109">
        <v>6063</v>
      </c>
      <c r="AD109">
        <v>45</v>
      </c>
      <c r="AE109">
        <v>1331</v>
      </c>
      <c r="AF109">
        <v>60</v>
      </c>
      <c r="AG109">
        <v>3031</v>
      </c>
      <c r="AH109">
        <v>22</v>
      </c>
      <c r="AI109">
        <v>665</v>
      </c>
      <c r="AJ109">
        <v>30</v>
      </c>
      <c r="AK109">
        <v>18.7</v>
      </c>
      <c r="AL109">
        <v>63</v>
      </c>
      <c r="AM109">
        <v>0.29682500000000001</v>
      </c>
    </row>
    <row r="110" spans="1:39" x14ac:dyDescent="0.3">
      <c r="A110" t="s">
        <v>110</v>
      </c>
      <c r="B110">
        <v>6239.9997350000003</v>
      </c>
      <c r="C110">
        <v>3.3792999999999997E-2</v>
      </c>
      <c r="D110">
        <v>0</v>
      </c>
      <c r="E110">
        <v>56240.999739999999</v>
      </c>
      <c r="F110">
        <v>6239.9997059999996</v>
      </c>
      <c r="G110">
        <v>50001</v>
      </c>
      <c r="H110">
        <v>6239.9997350000003</v>
      </c>
      <c r="I110">
        <v>143.28380300000001</v>
      </c>
      <c r="K110">
        <v>1</v>
      </c>
      <c r="M110">
        <v>56240.999709999996</v>
      </c>
      <c r="N110">
        <v>56240.999739999999</v>
      </c>
      <c r="O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60.114427999999997</v>
      </c>
      <c r="Z110">
        <v>83.135581999999999</v>
      </c>
      <c r="AB110">
        <v>1</v>
      </c>
      <c r="AC110">
        <v>4402</v>
      </c>
      <c r="AD110">
        <v>19</v>
      </c>
      <c r="AE110">
        <v>1464</v>
      </c>
      <c r="AF110">
        <v>146</v>
      </c>
      <c r="AG110">
        <v>4402</v>
      </c>
      <c r="AH110">
        <v>19</v>
      </c>
      <c r="AI110">
        <v>1464</v>
      </c>
      <c r="AJ110">
        <v>146</v>
      </c>
      <c r="AK110">
        <v>43.082999999999998</v>
      </c>
      <c r="AL110">
        <v>147</v>
      </c>
      <c r="AM110">
        <v>0.29308200000000001</v>
      </c>
    </row>
    <row r="111" spans="1:39" x14ac:dyDescent="0.3">
      <c r="A111" t="s">
        <v>111</v>
      </c>
      <c r="B111">
        <v>6160.0000559999999</v>
      </c>
      <c r="C111">
        <v>3.6899000000000001E-2</v>
      </c>
      <c r="D111">
        <v>0</v>
      </c>
      <c r="E111">
        <v>56161.000059999998</v>
      </c>
      <c r="F111">
        <v>6160.0000559999999</v>
      </c>
      <c r="G111">
        <v>50001</v>
      </c>
      <c r="H111">
        <v>6160.0000559999999</v>
      </c>
      <c r="I111">
        <v>318.06261799999999</v>
      </c>
      <c r="K111">
        <v>1</v>
      </c>
      <c r="M111">
        <v>56161.000059999998</v>
      </c>
      <c r="N111">
        <v>56161.000059999998</v>
      </c>
      <c r="O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271.97123399999998</v>
      </c>
      <c r="Z111">
        <v>46.054485</v>
      </c>
      <c r="AB111">
        <v>1</v>
      </c>
      <c r="AC111">
        <v>9442</v>
      </c>
      <c r="AD111">
        <v>24</v>
      </c>
      <c r="AE111">
        <v>718</v>
      </c>
      <c r="AF111">
        <v>0</v>
      </c>
      <c r="AG111">
        <v>9442</v>
      </c>
      <c r="AH111">
        <v>24</v>
      </c>
      <c r="AI111">
        <v>718</v>
      </c>
      <c r="AJ111">
        <v>0</v>
      </c>
      <c r="AK111">
        <v>0.53400000000000003</v>
      </c>
      <c r="AL111">
        <v>2</v>
      </c>
      <c r="AM111">
        <v>0.26700000000000002</v>
      </c>
    </row>
    <row r="112" spans="1:39" x14ac:dyDescent="0.3">
      <c r="A112" t="s">
        <v>112</v>
      </c>
      <c r="B112">
        <v>6539.9992110000003</v>
      </c>
      <c r="C112">
        <v>2.8487999999999999E-2</v>
      </c>
      <c r="D112">
        <v>0</v>
      </c>
      <c r="E112">
        <v>56540.999210000002</v>
      </c>
      <c r="F112">
        <v>6539.9992110000003</v>
      </c>
      <c r="G112">
        <v>50001</v>
      </c>
      <c r="H112">
        <v>6539.9992110000003</v>
      </c>
      <c r="I112">
        <v>374.64782000000002</v>
      </c>
      <c r="K112">
        <v>1</v>
      </c>
      <c r="M112">
        <v>56540.999210000002</v>
      </c>
      <c r="N112">
        <v>56540.999210000002</v>
      </c>
      <c r="O112">
        <v>1</v>
      </c>
      <c r="Q112">
        <v>1</v>
      </c>
      <c r="R112">
        <v>1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277.35139900000001</v>
      </c>
      <c r="Z112">
        <v>97.267932999999999</v>
      </c>
      <c r="AB112">
        <v>1</v>
      </c>
      <c r="AC112">
        <v>13864</v>
      </c>
      <c r="AD112">
        <v>28</v>
      </c>
      <c r="AE112">
        <v>923</v>
      </c>
      <c r="AF112">
        <v>29</v>
      </c>
      <c r="AG112">
        <v>13864</v>
      </c>
      <c r="AH112">
        <v>28</v>
      </c>
      <c r="AI112">
        <v>923</v>
      </c>
      <c r="AJ112">
        <v>29</v>
      </c>
      <c r="AK112">
        <v>6.0039999999999996</v>
      </c>
      <c r="AL112">
        <v>30</v>
      </c>
      <c r="AM112">
        <v>0.20013300000000001</v>
      </c>
    </row>
    <row r="113" spans="1:39" x14ac:dyDescent="0.3">
      <c r="A113" t="s">
        <v>114</v>
      </c>
      <c r="B113">
        <v>6039.9997530000001</v>
      </c>
      <c r="C113">
        <v>3.2983999999999999E-2</v>
      </c>
      <c r="D113">
        <v>0</v>
      </c>
      <c r="E113">
        <v>46041.999750000003</v>
      </c>
      <c r="F113">
        <v>6039.9998050000004</v>
      </c>
      <c r="G113">
        <v>40002</v>
      </c>
      <c r="H113">
        <v>6039.9997530000001</v>
      </c>
      <c r="I113">
        <v>351.63123999999999</v>
      </c>
      <c r="K113">
        <v>4</v>
      </c>
      <c r="M113">
        <v>46041.999810000001</v>
      </c>
      <c r="N113">
        <v>46041.999750000003</v>
      </c>
      <c r="O113">
        <v>1</v>
      </c>
      <c r="Q113">
        <v>1</v>
      </c>
      <c r="R113">
        <v>1</v>
      </c>
      <c r="S113">
        <v>0</v>
      </c>
      <c r="T113">
        <v>0</v>
      </c>
      <c r="U113">
        <v>0</v>
      </c>
      <c r="V113">
        <v>1</v>
      </c>
      <c r="W113">
        <v>2</v>
      </c>
      <c r="X113">
        <v>57.079498000000001</v>
      </c>
      <c r="Z113">
        <v>294.51875799999999</v>
      </c>
      <c r="AB113">
        <v>4</v>
      </c>
      <c r="AC113">
        <v>13553</v>
      </c>
      <c r="AD113">
        <v>90</v>
      </c>
      <c r="AE113">
        <v>3565</v>
      </c>
      <c r="AF113">
        <v>117</v>
      </c>
      <c r="AG113">
        <v>3388</v>
      </c>
      <c r="AH113">
        <v>22</v>
      </c>
      <c r="AI113">
        <v>891</v>
      </c>
      <c r="AJ113">
        <v>29</v>
      </c>
      <c r="AK113">
        <v>35.860999999999997</v>
      </c>
      <c r="AL113">
        <v>125</v>
      </c>
      <c r="AM113">
        <v>0.28688799999999998</v>
      </c>
    </row>
    <row r="114" spans="1:39" x14ac:dyDescent="0.3">
      <c r="A114" t="s">
        <v>115</v>
      </c>
      <c r="B114">
        <v>6559.99946</v>
      </c>
      <c r="C114">
        <v>3.4519000000000001E-2</v>
      </c>
      <c r="D114">
        <v>0</v>
      </c>
      <c r="E114">
        <v>36561.999459999999</v>
      </c>
      <c r="F114">
        <v>6559.9994500000003</v>
      </c>
      <c r="G114">
        <v>30002</v>
      </c>
      <c r="H114">
        <v>6559.99946</v>
      </c>
      <c r="I114">
        <v>53.213126000000003</v>
      </c>
      <c r="K114">
        <v>1</v>
      </c>
      <c r="M114">
        <v>36561.999450000003</v>
      </c>
      <c r="N114">
        <v>36561.999459999999</v>
      </c>
      <c r="O114">
        <v>1</v>
      </c>
      <c r="Q114">
        <v>1</v>
      </c>
      <c r="R114">
        <v>1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6.0800130000000001</v>
      </c>
      <c r="Z114">
        <v>47.098593999999999</v>
      </c>
      <c r="AB114">
        <v>1</v>
      </c>
      <c r="AC114">
        <v>3289</v>
      </c>
      <c r="AD114">
        <v>22</v>
      </c>
      <c r="AE114">
        <v>410</v>
      </c>
      <c r="AF114">
        <v>1</v>
      </c>
      <c r="AG114">
        <v>3289</v>
      </c>
      <c r="AH114">
        <v>22</v>
      </c>
      <c r="AI114">
        <v>410</v>
      </c>
      <c r="AJ114">
        <v>1</v>
      </c>
      <c r="AK114">
        <v>0.73599999999999999</v>
      </c>
      <c r="AL114">
        <v>2</v>
      </c>
      <c r="AM114">
        <v>0.36799999999999999</v>
      </c>
    </row>
    <row r="115" spans="1:39" x14ac:dyDescent="0.3">
      <c r="A115" t="s">
        <v>116</v>
      </c>
      <c r="B115">
        <v>6149.9995650000001</v>
      </c>
      <c r="C115">
        <v>3.3855000000000003E-2</v>
      </c>
      <c r="D115">
        <v>0</v>
      </c>
      <c r="E115">
        <v>56150.99957</v>
      </c>
      <c r="F115">
        <v>6149.9986310000004</v>
      </c>
      <c r="G115">
        <v>50001</v>
      </c>
      <c r="H115">
        <v>6149.9995650000001</v>
      </c>
      <c r="I115">
        <v>59.402615999999995</v>
      </c>
      <c r="K115">
        <v>1</v>
      </c>
      <c r="M115">
        <v>56150.998630000002</v>
      </c>
      <c r="N115">
        <v>56150.99957</v>
      </c>
      <c r="O115">
        <v>1</v>
      </c>
      <c r="Q115">
        <v>1</v>
      </c>
      <c r="R115">
        <v>1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38.196157999999997</v>
      </c>
      <c r="Z115">
        <v>21.172602999999999</v>
      </c>
      <c r="AB115">
        <v>1</v>
      </c>
      <c r="AC115">
        <v>610</v>
      </c>
      <c r="AD115">
        <v>10</v>
      </c>
      <c r="AE115">
        <v>567</v>
      </c>
      <c r="AF115">
        <v>2</v>
      </c>
      <c r="AG115">
        <v>610</v>
      </c>
      <c r="AH115">
        <v>10</v>
      </c>
      <c r="AI115">
        <v>567</v>
      </c>
      <c r="AJ115">
        <v>2</v>
      </c>
      <c r="AK115">
        <v>0.86799999999999999</v>
      </c>
      <c r="AL115">
        <v>3</v>
      </c>
      <c r="AM115">
        <v>0.28933300000000001</v>
      </c>
    </row>
    <row r="116" spans="1:39" x14ac:dyDescent="0.3">
      <c r="A116" t="s">
        <v>117</v>
      </c>
      <c r="B116">
        <v>6159.9997039999998</v>
      </c>
      <c r="C116">
        <v>3.6333999999999998E-2</v>
      </c>
      <c r="D116">
        <v>0</v>
      </c>
      <c r="E116">
        <v>56160.9997</v>
      </c>
      <c r="F116">
        <v>6159.9997009999997</v>
      </c>
      <c r="G116">
        <v>50001</v>
      </c>
      <c r="H116">
        <v>6159.9997039999998</v>
      </c>
      <c r="I116">
        <v>224.75753</v>
      </c>
      <c r="K116">
        <v>1</v>
      </c>
      <c r="M116">
        <v>56160.9997</v>
      </c>
      <c r="N116">
        <v>56160.9997</v>
      </c>
      <c r="O116">
        <v>1</v>
      </c>
      <c r="Q116">
        <v>1</v>
      </c>
      <c r="R116">
        <v>1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193.94646</v>
      </c>
      <c r="Z116">
        <v>30.774736000000001</v>
      </c>
      <c r="AB116">
        <v>1</v>
      </c>
      <c r="AC116">
        <v>1555</v>
      </c>
      <c r="AD116">
        <v>31</v>
      </c>
      <c r="AE116">
        <v>450</v>
      </c>
      <c r="AF116">
        <v>3</v>
      </c>
      <c r="AG116">
        <v>1555</v>
      </c>
      <c r="AH116">
        <v>31</v>
      </c>
      <c r="AI116">
        <v>450</v>
      </c>
      <c r="AJ116">
        <v>3</v>
      </c>
      <c r="AK116">
        <v>1.363</v>
      </c>
      <c r="AL116">
        <v>4</v>
      </c>
      <c r="AM116">
        <v>0.34075</v>
      </c>
    </row>
    <row r="117" spans="1:39" x14ac:dyDescent="0.3">
      <c r="A117" t="s">
        <v>118</v>
      </c>
      <c r="B117">
        <v>6090.0001590000002</v>
      </c>
      <c r="C117">
        <v>3.4296E-2</v>
      </c>
      <c r="D117">
        <v>0</v>
      </c>
      <c r="E117">
        <v>46091.000160000003</v>
      </c>
      <c r="F117">
        <v>6090.0001590000002</v>
      </c>
      <c r="G117">
        <v>40001</v>
      </c>
      <c r="H117">
        <v>6090.0001590000002</v>
      </c>
      <c r="I117">
        <v>286.40395999999998</v>
      </c>
      <c r="K117">
        <v>4</v>
      </c>
      <c r="M117">
        <v>46091.000160000003</v>
      </c>
      <c r="N117">
        <v>46091.000160000003</v>
      </c>
      <c r="O117">
        <v>1</v>
      </c>
      <c r="Q117">
        <v>1</v>
      </c>
      <c r="R117">
        <v>1</v>
      </c>
      <c r="S117">
        <v>0</v>
      </c>
      <c r="T117">
        <v>0</v>
      </c>
      <c r="U117">
        <v>0</v>
      </c>
      <c r="V117">
        <v>1</v>
      </c>
      <c r="W117">
        <v>2</v>
      </c>
      <c r="X117">
        <v>92.342068999999995</v>
      </c>
      <c r="Z117">
        <v>194.02759499999999</v>
      </c>
      <c r="AB117">
        <v>4</v>
      </c>
      <c r="AC117">
        <v>18840</v>
      </c>
      <c r="AD117">
        <v>52</v>
      </c>
      <c r="AE117">
        <v>1992</v>
      </c>
      <c r="AF117">
        <v>100</v>
      </c>
      <c r="AG117">
        <v>4710</v>
      </c>
      <c r="AH117">
        <v>13</v>
      </c>
      <c r="AI117">
        <v>498</v>
      </c>
      <c r="AJ117">
        <v>25</v>
      </c>
      <c r="AK117">
        <v>33.215000000000003</v>
      </c>
      <c r="AL117">
        <v>108</v>
      </c>
      <c r="AM117">
        <v>0.30754599999999999</v>
      </c>
    </row>
    <row r="118" spans="1:39" x14ac:dyDescent="0.3">
      <c r="A118" t="s">
        <v>119</v>
      </c>
      <c r="B118">
        <v>6250</v>
      </c>
      <c r="C118">
        <v>2.9690000000000001E-2</v>
      </c>
      <c r="D118">
        <v>0</v>
      </c>
      <c r="E118">
        <v>46252</v>
      </c>
      <c r="F118">
        <v>6250</v>
      </c>
      <c r="G118">
        <v>40002</v>
      </c>
      <c r="H118">
        <v>6250</v>
      </c>
      <c r="I118">
        <v>1155.767904</v>
      </c>
      <c r="K118">
        <v>7</v>
      </c>
      <c r="M118">
        <v>46252</v>
      </c>
      <c r="N118">
        <v>46252</v>
      </c>
      <c r="O118">
        <v>1</v>
      </c>
      <c r="Q118">
        <v>1</v>
      </c>
      <c r="R118">
        <v>1</v>
      </c>
      <c r="S118">
        <v>0</v>
      </c>
      <c r="T118">
        <v>0</v>
      </c>
      <c r="U118">
        <v>0</v>
      </c>
      <c r="V118">
        <v>1</v>
      </c>
      <c r="W118">
        <v>5</v>
      </c>
      <c r="X118">
        <v>103.950208</v>
      </c>
      <c r="Z118">
        <v>1051.788006</v>
      </c>
      <c r="AB118">
        <v>7</v>
      </c>
      <c r="AC118">
        <v>122747</v>
      </c>
      <c r="AD118">
        <v>152</v>
      </c>
      <c r="AE118">
        <v>5755</v>
      </c>
      <c r="AF118">
        <v>130</v>
      </c>
      <c r="AG118">
        <v>17535</v>
      </c>
      <c r="AH118">
        <v>21</v>
      </c>
      <c r="AI118">
        <v>822</v>
      </c>
      <c r="AJ118">
        <v>18</v>
      </c>
      <c r="AK118">
        <v>38.32</v>
      </c>
      <c r="AL118">
        <v>140</v>
      </c>
      <c r="AM118">
        <v>0.27371400000000001</v>
      </c>
    </row>
    <row r="119" spans="1:39" x14ac:dyDescent="0.3">
      <c r="A119" t="s">
        <v>120</v>
      </c>
      <c r="B119">
        <v>6539.999992</v>
      </c>
      <c r="C119">
        <v>3.5457000000000002E-2</v>
      </c>
      <c r="D119">
        <v>0</v>
      </c>
      <c r="E119">
        <v>56540.999989999997</v>
      </c>
      <c r="F119">
        <v>6539.9999479999997</v>
      </c>
      <c r="G119">
        <v>50001</v>
      </c>
      <c r="H119">
        <v>6539.999992</v>
      </c>
      <c r="I119">
        <v>1261.5294379999998</v>
      </c>
      <c r="K119">
        <v>3</v>
      </c>
      <c r="M119">
        <v>56540.999949999998</v>
      </c>
      <c r="N119">
        <v>56540.999989999997</v>
      </c>
      <c r="O119">
        <v>1</v>
      </c>
      <c r="Q119">
        <v>1</v>
      </c>
      <c r="R119">
        <v>1</v>
      </c>
      <c r="S119">
        <v>0</v>
      </c>
      <c r="T119">
        <v>0</v>
      </c>
      <c r="U119">
        <v>0</v>
      </c>
      <c r="V119">
        <v>1</v>
      </c>
      <c r="W119">
        <v>1</v>
      </c>
      <c r="X119">
        <v>1069.1136449999999</v>
      </c>
      <c r="Z119">
        <v>192.380336</v>
      </c>
      <c r="AB119">
        <v>3</v>
      </c>
      <c r="AC119">
        <v>3636</v>
      </c>
      <c r="AD119">
        <v>26</v>
      </c>
      <c r="AE119">
        <v>1069</v>
      </c>
      <c r="AF119">
        <v>208</v>
      </c>
      <c r="AG119">
        <v>1212</v>
      </c>
      <c r="AH119">
        <v>8</v>
      </c>
      <c r="AI119">
        <v>356</v>
      </c>
      <c r="AJ119">
        <v>69</v>
      </c>
      <c r="AK119">
        <v>60.488</v>
      </c>
      <c r="AL119">
        <v>214</v>
      </c>
      <c r="AM119">
        <v>0.28265400000000002</v>
      </c>
    </row>
    <row r="120" spans="1:39" s="4" customFormat="1" x14ac:dyDescent="0.3">
      <c r="A120" s="4" t="s">
        <v>122</v>
      </c>
      <c r="B120" s="4">
        <v>6499.9992549999997</v>
      </c>
      <c r="C120" s="4">
        <v>3.4733E-2</v>
      </c>
      <c r="D120" s="4">
        <v>0</v>
      </c>
      <c r="E120" s="4">
        <v>46501.999259999997</v>
      </c>
      <c r="F120" s="4">
        <v>6499.9992549999997</v>
      </c>
      <c r="G120" s="4">
        <v>40002</v>
      </c>
      <c r="H120" s="4">
        <v>6499.9992549999997</v>
      </c>
      <c r="I120" s="4">
        <v>3477.631531</v>
      </c>
      <c r="K120" s="4">
        <v>15</v>
      </c>
      <c r="M120" s="4">
        <v>46501.999259999997</v>
      </c>
      <c r="N120" s="4">
        <v>46501.999259999997</v>
      </c>
      <c r="O120" s="4">
        <v>1</v>
      </c>
      <c r="Q120" s="4">
        <v>1</v>
      </c>
      <c r="R120" s="4">
        <v>1</v>
      </c>
      <c r="S120" s="4">
        <v>0</v>
      </c>
      <c r="T120" s="4">
        <v>0</v>
      </c>
      <c r="U120" s="4">
        <v>0</v>
      </c>
      <c r="V120" s="4">
        <v>2</v>
      </c>
      <c r="W120" s="4">
        <v>12</v>
      </c>
      <c r="X120" s="4">
        <v>416.17324000000002</v>
      </c>
      <c r="Z120" s="4">
        <v>3061.423558</v>
      </c>
      <c r="AB120" s="4">
        <v>15</v>
      </c>
      <c r="AC120" s="4">
        <v>268897</v>
      </c>
      <c r="AD120" s="4">
        <v>278</v>
      </c>
      <c r="AE120" s="4">
        <v>16802</v>
      </c>
      <c r="AF120" s="4">
        <v>1113</v>
      </c>
      <c r="AG120" s="4">
        <v>17926</v>
      </c>
      <c r="AH120" s="4">
        <v>18</v>
      </c>
      <c r="AI120" s="4">
        <v>1120</v>
      </c>
      <c r="AJ120" s="4">
        <v>74</v>
      </c>
      <c r="AK120" s="4">
        <v>323.46300000000002</v>
      </c>
      <c r="AL120" s="4">
        <v>1154</v>
      </c>
      <c r="AM120" s="4">
        <v>0.28029700000000002</v>
      </c>
    </row>
    <row r="121" spans="1:39" s="1" customFormat="1" x14ac:dyDescent="0.3">
      <c r="A121" s="1" t="s">
        <v>123</v>
      </c>
      <c r="B121" s="1">
        <v>6159.9994360000001</v>
      </c>
      <c r="C121" s="1">
        <v>3.5778999999999998E-2</v>
      </c>
      <c r="D121" s="1">
        <v>0</v>
      </c>
      <c r="E121" s="1">
        <v>56160.99944</v>
      </c>
      <c r="F121" s="1">
        <v>-1</v>
      </c>
      <c r="G121" s="1">
        <v>50001</v>
      </c>
      <c r="H121" s="1">
        <v>6159.9994360000001</v>
      </c>
      <c r="I121" s="1">
        <v>3681.8834809999998</v>
      </c>
      <c r="K121" s="1">
        <v>11</v>
      </c>
      <c r="M121" s="1">
        <v>56280.999409999997</v>
      </c>
      <c r="N121" s="1">
        <v>56160.99944</v>
      </c>
      <c r="O121" s="1">
        <v>-1</v>
      </c>
      <c r="Q121" s="2">
        <v>1</v>
      </c>
      <c r="R121" s="1">
        <v>-1</v>
      </c>
      <c r="S121" s="1">
        <v>-1</v>
      </c>
      <c r="T121" s="1">
        <v>0</v>
      </c>
      <c r="U121" s="1">
        <v>-1</v>
      </c>
      <c r="V121" s="1">
        <v>0</v>
      </c>
      <c r="W121" s="1">
        <v>9</v>
      </c>
      <c r="X121" s="1">
        <v>3190.436267</v>
      </c>
      <c r="Z121" s="1">
        <v>491.41143499999998</v>
      </c>
      <c r="AB121" s="1">
        <v>11</v>
      </c>
      <c r="AC121" s="1">
        <v>52082</v>
      </c>
      <c r="AD121" s="1">
        <v>176</v>
      </c>
      <c r="AE121" s="1">
        <v>5708</v>
      </c>
      <c r="AF121" s="1">
        <v>192</v>
      </c>
      <c r="AG121" s="1">
        <v>4734</v>
      </c>
      <c r="AH121" s="1">
        <v>16</v>
      </c>
      <c r="AI121" s="1">
        <v>518</v>
      </c>
      <c r="AJ121" s="1">
        <v>17</v>
      </c>
      <c r="AK121" s="1">
        <v>61.777000000000001</v>
      </c>
      <c r="AL121" s="1">
        <v>204</v>
      </c>
      <c r="AM121" s="1">
        <v>0.30282799999999999</v>
      </c>
    </row>
    <row r="122" spans="1:39" x14ac:dyDescent="0.3">
      <c r="A122" t="s">
        <v>173</v>
      </c>
      <c r="B122">
        <v>7725.9996529999999</v>
      </c>
      <c r="C122">
        <v>3.0547000000000001E-2</v>
      </c>
      <c r="D122">
        <v>0</v>
      </c>
      <c r="E122">
        <v>57727.999649999998</v>
      </c>
      <c r="F122">
        <v>7725.9996529999999</v>
      </c>
      <c r="G122">
        <v>50002</v>
      </c>
      <c r="H122">
        <v>7725.9996529999999</v>
      </c>
      <c r="I122">
        <v>95.036760999999998</v>
      </c>
      <c r="J122">
        <v>596.28541260869565</v>
      </c>
      <c r="K122">
        <v>1</v>
      </c>
      <c r="L122">
        <f>AVERAGE(K122:K144)</f>
        <v>1.3478260869565217</v>
      </c>
      <c r="M122">
        <v>57727.999649999998</v>
      </c>
      <c r="N122">
        <v>57727.999649999998</v>
      </c>
      <c r="O122">
        <v>1</v>
      </c>
      <c r="P122">
        <v>23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24.178028999999999</v>
      </c>
      <c r="Y122">
        <v>386.02701460869565</v>
      </c>
      <c r="Z122">
        <v>70.828185000000005</v>
      </c>
      <c r="AA122">
        <v>210.22057656521741</v>
      </c>
      <c r="AB122">
        <v>1</v>
      </c>
      <c r="AC122">
        <v>2541</v>
      </c>
      <c r="AD122">
        <v>34</v>
      </c>
      <c r="AE122">
        <v>878</v>
      </c>
      <c r="AF122">
        <v>17</v>
      </c>
      <c r="AG122">
        <v>2541</v>
      </c>
      <c r="AH122">
        <v>34</v>
      </c>
      <c r="AI122">
        <v>878</v>
      </c>
      <c r="AJ122">
        <v>17</v>
      </c>
      <c r="AK122">
        <v>12.522</v>
      </c>
      <c r="AL122">
        <v>18</v>
      </c>
      <c r="AM122">
        <v>0.69566700000000004</v>
      </c>
    </row>
    <row r="123" spans="1:39" x14ac:dyDescent="0.3">
      <c r="A123" t="s">
        <v>170</v>
      </c>
      <c r="B123">
        <v>7450.0004769999996</v>
      </c>
      <c r="C123">
        <v>4.1963E-2</v>
      </c>
      <c r="D123">
        <v>0</v>
      </c>
      <c r="E123">
        <v>57452.000480000002</v>
      </c>
      <c r="F123">
        <v>7449.9996650000003</v>
      </c>
      <c r="G123">
        <v>50002</v>
      </c>
      <c r="H123">
        <v>7450.0004769999996</v>
      </c>
      <c r="I123">
        <v>172.27097599999999</v>
      </c>
      <c r="K123">
        <v>1</v>
      </c>
      <c r="M123">
        <v>57451.999669999997</v>
      </c>
      <c r="N123">
        <v>57452.000480000002</v>
      </c>
      <c r="O123">
        <v>1</v>
      </c>
      <c r="Q123">
        <v>1</v>
      </c>
      <c r="R123">
        <v>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66.129396999999997</v>
      </c>
      <c r="Z123">
        <v>106.099616</v>
      </c>
      <c r="AB123">
        <v>1</v>
      </c>
      <c r="AC123">
        <v>2302</v>
      </c>
      <c r="AD123">
        <v>32</v>
      </c>
      <c r="AE123">
        <v>723</v>
      </c>
      <c r="AF123">
        <v>14</v>
      </c>
      <c r="AG123">
        <v>2302</v>
      </c>
      <c r="AH123">
        <v>32</v>
      </c>
      <c r="AI123">
        <v>723</v>
      </c>
      <c r="AJ123">
        <v>14</v>
      </c>
      <c r="AK123">
        <v>9.82</v>
      </c>
      <c r="AL123">
        <v>15</v>
      </c>
      <c r="AM123">
        <v>0.654667</v>
      </c>
    </row>
    <row r="124" spans="1:39" x14ac:dyDescent="0.3">
      <c r="A124" t="s">
        <v>174</v>
      </c>
      <c r="B124">
        <v>7758.0003379999998</v>
      </c>
      <c r="C124">
        <v>3.9586000000000003E-2</v>
      </c>
      <c r="D124">
        <v>0</v>
      </c>
      <c r="E124">
        <v>67759.000339999999</v>
      </c>
      <c r="F124">
        <v>7758.0003379999998</v>
      </c>
      <c r="G124">
        <v>60001</v>
      </c>
      <c r="H124">
        <v>7758.0003379999998</v>
      </c>
      <c r="I124">
        <v>222.762764</v>
      </c>
      <c r="K124">
        <v>1</v>
      </c>
      <c r="M124">
        <v>67759.000339999999</v>
      </c>
      <c r="N124">
        <v>67759.000339999999</v>
      </c>
      <c r="O124">
        <v>1</v>
      </c>
      <c r="Q124">
        <v>1</v>
      </c>
      <c r="R124">
        <v>1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158.83483899999999</v>
      </c>
      <c r="Z124">
        <v>63.888339000000002</v>
      </c>
      <c r="AB124">
        <v>1</v>
      </c>
      <c r="AC124">
        <v>4942</v>
      </c>
      <c r="AD124">
        <v>32</v>
      </c>
      <c r="AE124">
        <v>1009</v>
      </c>
      <c r="AF124">
        <v>3</v>
      </c>
      <c r="AG124">
        <v>4942</v>
      </c>
      <c r="AH124">
        <v>32</v>
      </c>
      <c r="AI124">
        <v>1009</v>
      </c>
      <c r="AJ124">
        <v>3</v>
      </c>
      <c r="AK124">
        <v>4.4530000000000003</v>
      </c>
      <c r="AL124">
        <v>6</v>
      </c>
      <c r="AM124">
        <v>0.74216700000000002</v>
      </c>
    </row>
    <row r="125" spans="1:39" x14ac:dyDescent="0.3">
      <c r="A125" t="s">
        <v>175</v>
      </c>
      <c r="B125">
        <v>7725.9994509999997</v>
      </c>
      <c r="C125">
        <v>4.1038999999999999E-2</v>
      </c>
      <c r="D125">
        <v>0</v>
      </c>
      <c r="E125">
        <v>57726.999450000003</v>
      </c>
      <c r="F125">
        <v>7725.9992739999998</v>
      </c>
      <c r="G125">
        <v>50001</v>
      </c>
      <c r="H125">
        <v>7725.9994509999997</v>
      </c>
      <c r="I125">
        <v>244.69171399999999</v>
      </c>
      <c r="K125">
        <v>3</v>
      </c>
      <c r="M125">
        <v>57726.99927</v>
      </c>
      <c r="N125">
        <v>57726.999450000003</v>
      </c>
      <c r="O125">
        <v>1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1</v>
      </c>
      <c r="W125">
        <v>1</v>
      </c>
      <c r="X125">
        <v>93.992833000000005</v>
      </c>
      <c r="Z125">
        <v>150.65784199999999</v>
      </c>
      <c r="AB125">
        <v>3</v>
      </c>
      <c r="AC125">
        <v>4534</v>
      </c>
      <c r="AD125">
        <v>41</v>
      </c>
      <c r="AE125">
        <v>763</v>
      </c>
      <c r="AF125">
        <v>49</v>
      </c>
      <c r="AG125">
        <v>1511</v>
      </c>
      <c r="AH125">
        <v>13</v>
      </c>
      <c r="AI125">
        <v>254</v>
      </c>
      <c r="AJ125">
        <v>16</v>
      </c>
      <c r="AK125">
        <v>33.426000000000002</v>
      </c>
      <c r="AL125">
        <v>53</v>
      </c>
      <c r="AM125">
        <v>0.63067899999999999</v>
      </c>
    </row>
    <row r="126" spans="1:39" x14ac:dyDescent="0.3">
      <c r="A126" t="s">
        <v>195</v>
      </c>
      <c r="B126">
        <v>7872.0010519999996</v>
      </c>
      <c r="C126">
        <v>3.4000000000000002E-2</v>
      </c>
      <c r="D126">
        <v>0</v>
      </c>
      <c r="E126">
        <v>57874.001049999999</v>
      </c>
      <c r="F126">
        <v>7872.0006370000001</v>
      </c>
      <c r="G126">
        <v>50002</v>
      </c>
      <c r="H126">
        <v>7872.0010519999996</v>
      </c>
      <c r="I126">
        <v>498.36689899999999</v>
      </c>
      <c r="K126">
        <v>1</v>
      </c>
      <c r="M126">
        <v>57874.000639999998</v>
      </c>
      <c r="N126">
        <v>57874.001049999999</v>
      </c>
      <c r="O126">
        <v>1</v>
      </c>
      <c r="Q126">
        <v>1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56.895857999999997</v>
      </c>
      <c r="Z126">
        <v>441.43704100000002</v>
      </c>
      <c r="AB126">
        <v>1</v>
      </c>
      <c r="AC126">
        <v>5372</v>
      </c>
      <c r="AD126">
        <v>54</v>
      </c>
      <c r="AE126">
        <v>6950</v>
      </c>
      <c r="AF126">
        <v>289</v>
      </c>
      <c r="AG126">
        <v>5372</v>
      </c>
      <c r="AH126">
        <v>54</v>
      </c>
      <c r="AI126">
        <v>6950</v>
      </c>
      <c r="AJ126">
        <v>289</v>
      </c>
      <c r="AK126">
        <v>151.49</v>
      </c>
      <c r="AL126">
        <v>292</v>
      </c>
      <c r="AM126">
        <v>0.51880099999999996</v>
      </c>
    </row>
    <row r="127" spans="1:39" x14ac:dyDescent="0.3">
      <c r="A127" t="s">
        <v>229</v>
      </c>
      <c r="B127">
        <v>7758.0003379999998</v>
      </c>
      <c r="C127">
        <v>3.8859999999999999E-2</v>
      </c>
      <c r="D127">
        <v>0</v>
      </c>
      <c r="E127">
        <v>67759.000339999999</v>
      </c>
      <c r="F127">
        <v>7758.000121</v>
      </c>
      <c r="G127">
        <v>60001</v>
      </c>
      <c r="H127">
        <v>7758.0003379999998</v>
      </c>
      <c r="I127">
        <v>2750.3959490000002</v>
      </c>
      <c r="K127">
        <v>1</v>
      </c>
      <c r="M127">
        <v>67759.000119999997</v>
      </c>
      <c r="N127">
        <v>67759.000339999999</v>
      </c>
      <c r="O127">
        <v>1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2526.4099070000002</v>
      </c>
      <c r="Z127">
        <v>223.947182</v>
      </c>
      <c r="AB127">
        <v>1</v>
      </c>
      <c r="AC127">
        <v>9085</v>
      </c>
      <c r="AD127">
        <v>45</v>
      </c>
      <c r="AE127">
        <v>4698</v>
      </c>
      <c r="AF127">
        <v>96</v>
      </c>
      <c r="AG127">
        <v>9085</v>
      </c>
      <c r="AH127">
        <v>45</v>
      </c>
      <c r="AI127">
        <v>4698</v>
      </c>
      <c r="AJ127">
        <v>96</v>
      </c>
      <c r="AK127">
        <v>57.359000000000002</v>
      </c>
      <c r="AL127">
        <v>97</v>
      </c>
      <c r="AM127">
        <v>0.59133000000000002</v>
      </c>
    </row>
    <row r="128" spans="1:39" x14ac:dyDescent="0.3">
      <c r="A128" t="s">
        <v>176</v>
      </c>
      <c r="B128">
        <v>7737.9982170000003</v>
      </c>
      <c r="C128">
        <v>4.1551999999999999E-2</v>
      </c>
      <c r="D128">
        <v>0</v>
      </c>
      <c r="E128">
        <v>57738.998220000001</v>
      </c>
      <c r="F128">
        <v>7737.9988640000001</v>
      </c>
      <c r="G128">
        <v>50001</v>
      </c>
      <c r="H128">
        <v>7737.9982170000003</v>
      </c>
      <c r="I128">
        <v>167.338686</v>
      </c>
      <c r="K128">
        <v>1</v>
      </c>
      <c r="M128">
        <v>57738.99886</v>
      </c>
      <c r="N128">
        <v>57738.998220000001</v>
      </c>
      <c r="O128">
        <v>1</v>
      </c>
      <c r="Q128">
        <v>1</v>
      </c>
      <c r="R128">
        <v>1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33.634368000000002</v>
      </c>
      <c r="Z128">
        <v>133.662766</v>
      </c>
      <c r="AB128">
        <v>1</v>
      </c>
      <c r="AC128">
        <v>3962</v>
      </c>
      <c r="AD128">
        <v>44</v>
      </c>
      <c r="AE128">
        <v>4010</v>
      </c>
      <c r="AF128">
        <v>44</v>
      </c>
      <c r="AG128">
        <v>3962</v>
      </c>
      <c r="AH128">
        <v>44</v>
      </c>
      <c r="AI128">
        <v>4010</v>
      </c>
      <c r="AJ128">
        <v>44</v>
      </c>
      <c r="AK128">
        <v>27.187999999999999</v>
      </c>
      <c r="AL128">
        <v>45</v>
      </c>
      <c r="AM128">
        <v>0.60417799999999999</v>
      </c>
    </row>
    <row r="129" spans="1:39" x14ac:dyDescent="0.3">
      <c r="A129" t="s">
        <v>177</v>
      </c>
      <c r="B129">
        <v>7754.000548</v>
      </c>
      <c r="C129">
        <v>3.0572999999999999E-2</v>
      </c>
      <c r="D129">
        <v>0</v>
      </c>
      <c r="E129">
        <v>57755.000549999997</v>
      </c>
      <c r="F129">
        <v>7754.0008850000004</v>
      </c>
      <c r="G129">
        <v>50001</v>
      </c>
      <c r="H129">
        <v>7754.000548</v>
      </c>
      <c r="I129">
        <v>143.68732699999998</v>
      </c>
      <c r="K129">
        <v>1</v>
      </c>
      <c r="M129">
        <v>57755.000890000003</v>
      </c>
      <c r="N129">
        <v>57755.000549999997</v>
      </c>
      <c r="O129">
        <v>1</v>
      </c>
      <c r="Q129">
        <v>1</v>
      </c>
      <c r="R129">
        <v>1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46.853861000000002</v>
      </c>
      <c r="Z129">
        <v>96.802892999999997</v>
      </c>
      <c r="AB129">
        <v>1</v>
      </c>
      <c r="AC129">
        <v>8716</v>
      </c>
      <c r="AD129">
        <v>49</v>
      </c>
      <c r="AE129">
        <v>5172</v>
      </c>
      <c r="AF129">
        <v>19</v>
      </c>
      <c r="AG129">
        <v>8716</v>
      </c>
      <c r="AH129">
        <v>49</v>
      </c>
      <c r="AI129">
        <v>5172</v>
      </c>
      <c r="AJ129">
        <v>19</v>
      </c>
      <c r="AK129">
        <v>8.0069999999999997</v>
      </c>
      <c r="AL129">
        <v>21</v>
      </c>
      <c r="AM129">
        <v>0.38128600000000001</v>
      </c>
    </row>
    <row r="130" spans="1:39" x14ac:dyDescent="0.3">
      <c r="A130" t="s">
        <v>178</v>
      </c>
      <c r="B130">
        <v>7783.9989960000003</v>
      </c>
      <c r="C130">
        <v>5.1852000000000002E-2</v>
      </c>
      <c r="D130">
        <v>0</v>
      </c>
      <c r="E130">
        <v>57785.999000000003</v>
      </c>
      <c r="F130">
        <v>7783.9989960000003</v>
      </c>
      <c r="G130">
        <v>50002</v>
      </c>
      <c r="H130">
        <v>7783.9989960000003</v>
      </c>
      <c r="I130">
        <v>164.18459000000001</v>
      </c>
      <c r="K130">
        <v>1</v>
      </c>
      <c r="M130">
        <v>57785.999000000003</v>
      </c>
      <c r="N130">
        <v>57785.999000000003</v>
      </c>
      <c r="O130">
        <v>1</v>
      </c>
      <c r="Q130">
        <v>1</v>
      </c>
      <c r="R130">
        <v>1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93.098937000000006</v>
      </c>
      <c r="Z130">
        <v>71.033800999999997</v>
      </c>
      <c r="AB130">
        <v>1</v>
      </c>
      <c r="AC130">
        <v>641</v>
      </c>
      <c r="AD130">
        <v>14</v>
      </c>
      <c r="AE130">
        <v>824</v>
      </c>
      <c r="AF130">
        <v>60</v>
      </c>
      <c r="AG130">
        <v>641</v>
      </c>
      <c r="AH130">
        <v>14</v>
      </c>
      <c r="AI130">
        <v>824</v>
      </c>
      <c r="AJ130">
        <v>60</v>
      </c>
      <c r="AK130">
        <v>36.177999999999997</v>
      </c>
      <c r="AL130">
        <v>61</v>
      </c>
      <c r="AM130">
        <v>0.593082</v>
      </c>
    </row>
    <row r="131" spans="1:39" x14ac:dyDescent="0.3">
      <c r="A131" t="s">
        <v>181</v>
      </c>
      <c r="B131">
        <v>7711.9999109999999</v>
      </c>
      <c r="C131">
        <v>3.3051999999999998E-2</v>
      </c>
      <c r="D131">
        <v>0</v>
      </c>
      <c r="E131">
        <v>57713.999909999999</v>
      </c>
      <c r="F131">
        <v>7712.0007690000002</v>
      </c>
      <c r="G131">
        <v>50002</v>
      </c>
      <c r="H131">
        <v>7711.9999109999999</v>
      </c>
      <c r="I131">
        <v>129.648538</v>
      </c>
      <c r="K131">
        <v>1</v>
      </c>
      <c r="M131">
        <v>57714.000769999999</v>
      </c>
      <c r="N131">
        <v>57713.999909999999</v>
      </c>
      <c r="O131">
        <v>1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61.356458000000003</v>
      </c>
      <c r="Z131">
        <v>68.259028000000001</v>
      </c>
      <c r="AB131">
        <v>1</v>
      </c>
      <c r="AC131">
        <v>2639</v>
      </c>
      <c r="AD131">
        <v>14</v>
      </c>
      <c r="AE131">
        <v>386</v>
      </c>
      <c r="AF131">
        <v>4</v>
      </c>
      <c r="AG131">
        <v>2639</v>
      </c>
      <c r="AH131">
        <v>14</v>
      </c>
      <c r="AI131">
        <v>386</v>
      </c>
      <c r="AJ131">
        <v>4</v>
      </c>
      <c r="AK131">
        <v>3.923</v>
      </c>
      <c r="AL131">
        <v>6</v>
      </c>
      <c r="AM131">
        <v>0.653833</v>
      </c>
    </row>
    <row r="132" spans="1:39" x14ac:dyDescent="0.3">
      <c r="A132" t="s">
        <v>200</v>
      </c>
      <c r="B132">
        <v>7730.0009010000003</v>
      </c>
      <c r="C132">
        <v>4.6057000000000001E-2</v>
      </c>
      <c r="D132">
        <v>0</v>
      </c>
      <c r="E132">
        <v>57733.000899999999</v>
      </c>
      <c r="F132">
        <v>7730.0009010000003</v>
      </c>
      <c r="G132">
        <v>50003</v>
      </c>
      <c r="H132">
        <v>7730.0009010000003</v>
      </c>
      <c r="I132">
        <v>905.79432399999996</v>
      </c>
      <c r="K132">
        <v>1</v>
      </c>
      <c r="M132">
        <v>57733.000899999999</v>
      </c>
      <c r="N132">
        <v>57733.000899999999</v>
      </c>
      <c r="O132">
        <v>1</v>
      </c>
      <c r="Q132">
        <v>1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62.702457000000003</v>
      </c>
      <c r="Z132">
        <v>843.04580999999996</v>
      </c>
      <c r="AB132">
        <v>1</v>
      </c>
      <c r="AC132">
        <v>17255</v>
      </c>
      <c r="AD132">
        <v>51</v>
      </c>
      <c r="AE132">
        <v>7277</v>
      </c>
      <c r="AF132">
        <v>20</v>
      </c>
      <c r="AG132">
        <v>17255</v>
      </c>
      <c r="AH132">
        <v>51</v>
      </c>
      <c r="AI132">
        <v>7277</v>
      </c>
      <c r="AJ132">
        <v>20</v>
      </c>
      <c r="AK132">
        <v>14.683999999999999</v>
      </c>
      <c r="AL132">
        <v>23</v>
      </c>
      <c r="AM132">
        <v>0.63843499999999997</v>
      </c>
    </row>
    <row r="133" spans="1:39" x14ac:dyDescent="0.3">
      <c r="A133" t="s">
        <v>182</v>
      </c>
      <c r="B133">
        <v>7783.9998189999997</v>
      </c>
      <c r="C133">
        <v>2.9665E-2</v>
      </c>
      <c r="D133">
        <v>0</v>
      </c>
      <c r="E133">
        <v>47788.999819999997</v>
      </c>
      <c r="F133">
        <v>7783.9998130000004</v>
      </c>
      <c r="G133">
        <v>40005</v>
      </c>
      <c r="H133">
        <v>7783.9998189999997</v>
      </c>
      <c r="I133">
        <v>161.21947100000003</v>
      </c>
      <c r="K133">
        <v>1</v>
      </c>
      <c r="M133">
        <v>47788.999810000001</v>
      </c>
      <c r="N133">
        <v>47788.999819999997</v>
      </c>
      <c r="O133">
        <v>1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16.174434000000002</v>
      </c>
      <c r="Z133">
        <v>145.01537200000001</v>
      </c>
      <c r="AB133">
        <v>1</v>
      </c>
      <c r="AC133">
        <v>5009</v>
      </c>
      <c r="AD133">
        <v>36</v>
      </c>
      <c r="AE133">
        <v>2199</v>
      </c>
      <c r="AF133">
        <v>239</v>
      </c>
      <c r="AG133">
        <v>5009</v>
      </c>
      <c r="AH133">
        <v>36</v>
      </c>
      <c r="AI133">
        <v>2199</v>
      </c>
      <c r="AJ133">
        <v>239</v>
      </c>
      <c r="AK133">
        <v>84.634</v>
      </c>
      <c r="AL133">
        <v>240</v>
      </c>
      <c r="AM133">
        <v>0.35264200000000001</v>
      </c>
    </row>
    <row r="134" spans="1:39" x14ac:dyDescent="0.3">
      <c r="A134" t="s">
        <v>183</v>
      </c>
      <c r="B134">
        <v>7709.9989800000003</v>
      </c>
      <c r="C134">
        <v>4.1445000000000003E-2</v>
      </c>
      <c r="D134">
        <v>0</v>
      </c>
      <c r="E134">
        <v>57710.998979999997</v>
      </c>
      <c r="F134">
        <v>7709.9988400000002</v>
      </c>
      <c r="G134">
        <v>50001</v>
      </c>
      <c r="H134">
        <v>7709.9989800000003</v>
      </c>
      <c r="I134">
        <v>221.41389599999999</v>
      </c>
      <c r="K134">
        <v>1</v>
      </c>
      <c r="M134">
        <v>57710.99884</v>
      </c>
      <c r="N134">
        <v>57710.998979999997</v>
      </c>
      <c r="O134">
        <v>1</v>
      </c>
      <c r="Q134">
        <v>1</v>
      </c>
      <c r="R134">
        <v>1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72.061064999999999</v>
      </c>
      <c r="Z134">
        <v>149.311386</v>
      </c>
      <c r="AB134">
        <v>1</v>
      </c>
      <c r="AC134">
        <v>5846</v>
      </c>
      <c r="AD134">
        <v>30</v>
      </c>
      <c r="AE134">
        <v>1842</v>
      </c>
      <c r="AF134">
        <v>58</v>
      </c>
      <c r="AG134">
        <v>5846</v>
      </c>
      <c r="AH134">
        <v>30</v>
      </c>
      <c r="AI134">
        <v>1842</v>
      </c>
      <c r="AJ134">
        <v>58</v>
      </c>
      <c r="AK134">
        <v>35.445</v>
      </c>
      <c r="AL134">
        <v>59</v>
      </c>
      <c r="AM134">
        <v>0.60076300000000005</v>
      </c>
    </row>
    <row r="135" spans="1:39" x14ac:dyDescent="0.3">
      <c r="A135" t="s">
        <v>184</v>
      </c>
      <c r="B135">
        <v>7737.9989150000001</v>
      </c>
      <c r="C135">
        <v>3.0130000000000001E-2</v>
      </c>
      <c r="D135">
        <v>0</v>
      </c>
      <c r="E135">
        <v>57740.998919999998</v>
      </c>
      <c r="F135">
        <v>7737.9989420000002</v>
      </c>
      <c r="G135">
        <v>50003</v>
      </c>
      <c r="H135">
        <v>7737.9989150000001</v>
      </c>
      <c r="I135">
        <v>126.05532599999999</v>
      </c>
      <c r="K135">
        <v>1</v>
      </c>
      <c r="M135">
        <v>57740.998939999998</v>
      </c>
      <c r="N135">
        <v>57740.998919999998</v>
      </c>
      <c r="O135">
        <v>1</v>
      </c>
      <c r="Q135">
        <v>1</v>
      </c>
      <c r="R135">
        <v>1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18.620334</v>
      </c>
      <c r="Z135">
        <v>107.40486199999999</v>
      </c>
      <c r="AB135">
        <v>1</v>
      </c>
      <c r="AC135">
        <v>2797</v>
      </c>
      <c r="AD135">
        <v>34</v>
      </c>
      <c r="AE135">
        <v>1720</v>
      </c>
      <c r="AF135">
        <v>26</v>
      </c>
      <c r="AG135">
        <v>2797</v>
      </c>
      <c r="AH135">
        <v>34</v>
      </c>
      <c r="AI135">
        <v>1720</v>
      </c>
      <c r="AJ135">
        <v>26</v>
      </c>
      <c r="AK135">
        <v>15.789</v>
      </c>
      <c r="AL135">
        <v>27</v>
      </c>
      <c r="AM135">
        <v>0.58477800000000002</v>
      </c>
    </row>
    <row r="136" spans="1:39" x14ac:dyDescent="0.3">
      <c r="A136" t="s">
        <v>185</v>
      </c>
      <c r="B136">
        <v>8050.0001609999999</v>
      </c>
      <c r="C136">
        <v>3.3600999999999999E-2</v>
      </c>
      <c r="D136">
        <v>0</v>
      </c>
      <c r="E136">
        <v>58051.000160000003</v>
      </c>
      <c r="F136">
        <v>8049.9992259999999</v>
      </c>
      <c r="G136">
        <v>50001</v>
      </c>
      <c r="H136">
        <v>8050.0001609999999</v>
      </c>
      <c r="I136">
        <v>104.67126999999999</v>
      </c>
      <c r="K136">
        <v>1</v>
      </c>
      <c r="M136">
        <v>58050.999230000001</v>
      </c>
      <c r="N136">
        <v>58051.000160000003</v>
      </c>
      <c r="O136">
        <v>1</v>
      </c>
      <c r="Q136">
        <v>1</v>
      </c>
      <c r="R136">
        <v>1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58.100273999999999</v>
      </c>
      <c r="Z136">
        <v>46.537394999999997</v>
      </c>
      <c r="AB136">
        <v>1</v>
      </c>
      <c r="AC136">
        <v>1206</v>
      </c>
      <c r="AD136">
        <v>37</v>
      </c>
      <c r="AE136">
        <v>1450</v>
      </c>
      <c r="AF136">
        <v>0</v>
      </c>
      <c r="AG136">
        <v>1206</v>
      </c>
      <c r="AH136">
        <v>37</v>
      </c>
      <c r="AI136">
        <v>1450</v>
      </c>
      <c r="AJ136">
        <v>0</v>
      </c>
      <c r="AK136">
        <v>0.36299999999999999</v>
      </c>
      <c r="AL136">
        <v>1</v>
      </c>
      <c r="AM136">
        <v>0.36299999999999999</v>
      </c>
    </row>
    <row r="137" spans="1:39" s="3" customFormat="1" x14ac:dyDescent="0.3">
      <c r="A137" s="3" t="s">
        <v>186</v>
      </c>
      <c r="B137" s="3">
        <v>8201.9986509999999</v>
      </c>
      <c r="C137" s="3">
        <v>4.2959999999999998E-2</v>
      </c>
      <c r="D137" s="3">
        <v>0</v>
      </c>
      <c r="E137" s="3">
        <v>58203.998650000001</v>
      </c>
      <c r="F137" s="3">
        <v>8201.9986509999999</v>
      </c>
      <c r="G137" s="3">
        <v>50002</v>
      </c>
      <c r="H137" s="3">
        <v>8201.9986509999999</v>
      </c>
      <c r="I137" s="3">
        <v>323.97480999999999</v>
      </c>
      <c r="K137" s="3">
        <v>1</v>
      </c>
      <c r="M137" s="3">
        <v>58203.998650000001</v>
      </c>
      <c r="N137" s="3">
        <v>58203.998650000001</v>
      </c>
      <c r="O137" s="3">
        <v>1</v>
      </c>
      <c r="Q137" s="3">
        <v>1</v>
      </c>
      <c r="R137" s="3">
        <v>1</v>
      </c>
      <c r="S137" s="3">
        <v>0</v>
      </c>
      <c r="T137" s="3">
        <v>0</v>
      </c>
      <c r="U137" s="3">
        <v>0</v>
      </c>
      <c r="V137" s="3">
        <v>0</v>
      </c>
      <c r="W137" s="3">
        <v>0</v>
      </c>
      <c r="X137" s="3">
        <v>78.792209</v>
      </c>
      <c r="Z137" s="3">
        <v>245.13964100000001</v>
      </c>
      <c r="AB137" s="3">
        <v>1</v>
      </c>
      <c r="AC137" s="3">
        <v>2449</v>
      </c>
      <c r="AD137" s="3">
        <v>34</v>
      </c>
      <c r="AE137" s="3">
        <v>1502</v>
      </c>
      <c r="AF137" s="3">
        <v>278</v>
      </c>
      <c r="AG137" s="3">
        <v>2449</v>
      </c>
      <c r="AH137" s="3">
        <v>34</v>
      </c>
      <c r="AI137" s="3">
        <v>1502</v>
      </c>
      <c r="AJ137" s="3">
        <v>278</v>
      </c>
      <c r="AK137" s="3">
        <v>175.90299999999999</v>
      </c>
      <c r="AL137" s="3">
        <v>281</v>
      </c>
      <c r="AM137" s="3">
        <v>0.62598900000000002</v>
      </c>
    </row>
    <row r="138" spans="1:39" x14ac:dyDescent="0.3">
      <c r="A138" t="s">
        <v>203</v>
      </c>
      <c r="B138">
        <v>7730.0009010000003</v>
      </c>
      <c r="C138">
        <v>4.7792000000000001E-2</v>
      </c>
      <c r="D138">
        <v>0</v>
      </c>
      <c r="E138">
        <v>67731.000899999999</v>
      </c>
      <c r="F138">
        <v>7730.0005419999998</v>
      </c>
      <c r="G138">
        <v>60001</v>
      </c>
      <c r="H138">
        <v>7730.0009010000003</v>
      </c>
      <c r="I138">
        <v>600.16504799999996</v>
      </c>
      <c r="K138">
        <v>1</v>
      </c>
      <c r="M138">
        <v>67731.000539999994</v>
      </c>
      <c r="N138">
        <v>67731.000899999999</v>
      </c>
      <c r="O138">
        <v>1</v>
      </c>
      <c r="Q138">
        <v>1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522.93316100000004</v>
      </c>
      <c r="Z138">
        <v>77.184094999999999</v>
      </c>
      <c r="AB138">
        <v>1</v>
      </c>
      <c r="AC138">
        <v>2541</v>
      </c>
      <c r="AD138">
        <v>39</v>
      </c>
      <c r="AE138">
        <v>2566</v>
      </c>
      <c r="AF138">
        <v>9</v>
      </c>
      <c r="AG138">
        <v>2541</v>
      </c>
      <c r="AH138">
        <v>39</v>
      </c>
      <c r="AI138">
        <v>2566</v>
      </c>
      <c r="AJ138">
        <v>9</v>
      </c>
      <c r="AK138">
        <v>6.1289999999999996</v>
      </c>
      <c r="AL138">
        <v>10</v>
      </c>
      <c r="AM138">
        <v>0.6129</v>
      </c>
    </row>
    <row r="139" spans="1:39" x14ac:dyDescent="0.3">
      <c r="A139" t="s">
        <v>204</v>
      </c>
      <c r="B139">
        <v>7349.9996330000004</v>
      </c>
      <c r="C139">
        <v>3.0027000000000002E-2</v>
      </c>
      <c r="D139">
        <v>0</v>
      </c>
      <c r="E139">
        <v>57351.999629999998</v>
      </c>
      <c r="F139">
        <v>7349.9998169999999</v>
      </c>
      <c r="G139">
        <v>50002</v>
      </c>
      <c r="H139">
        <v>7349.9996330000004</v>
      </c>
      <c r="I139">
        <v>1045.9578280000001</v>
      </c>
      <c r="K139">
        <v>4</v>
      </c>
      <c r="M139">
        <v>57351.999819999997</v>
      </c>
      <c r="N139">
        <v>57351.999629999998</v>
      </c>
      <c r="O139">
        <v>1</v>
      </c>
      <c r="Q139">
        <v>1</v>
      </c>
      <c r="R139">
        <v>1</v>
      </c>
      <c r="S139">
        <v>0</v>
      </c>
      <c r="T139">
        <v>0</v>
      </c>
      <c r="U139">
        <v>0</v>
      </c>
      <c r="V139">
        <v>1</v>
      </c>
      <c r="W139">
        <v>2</v>
      </c>
      <c r="X139">
        <v>469.62850200000003</v>
      </c>
      <c r="Z139">
        <v>576.29929900000002</v>
      </c>
      <c r="AB139">
        <v>4</v>
      </c>
      <c r="AC139">
        <v>34529</v>
      </c>
      <c r="AD139">
        <v>142</v>
      </c>
      <c r="AE139">
        <v>6411</v>
      </c>
      <c r="AF139">
        <v>76</v>
      </c>
      <c r="AG139">
        <v>8632</v>
      </c>
      <c r="AH139">
        <v>35</v>
      </c>
      <c r="AI139">
        <v>1602</v>
      </c>
      <c r="AJ139">
        <v>19</v>
      </c>
      <c r="AK139">
        <v>51.597000000000001</v>
      </c>
      <c r="AL139">
        <v>83</v>
      </c>
      <c r="AM139">
        <v>0.62165099999999995</v>
      </c>
    </row>
    <row r="140" spans="1:39" x14ac:dyDescent="0.3">
      <c r="A140" t="s">
        <v>205</v>
      </c>
      <c r="B140">
        <v>7855.9985070000002</v>
      </c>
      <c r="C140">
        <v>3.014E-2</v>
      </c>
      <c r="D140">
        <v>0</v>
      </c>
      <c r="E140">
        <v>67857.998510000005</v>
      </c>
      <c r="F140">
        <v>7855.9984370000002</v>
      </c>
      <c r="G140">
        <v>60002</v>
      </c>
      <c r="H140">
        <v>7855.9985070000002</v>
      </c>
      <c r="I140">
        <v>679.58544300000005</v>
      </c>
      <c r="K140">
        <v>1</v>
      </c>
      <c r="M140">
        <v>67857.998439999996</v>
      </c>
      <c r="N140">
        <v>67857.998510000005</v>
      </c>
      <c r="O140">
        <v>1</v>
      </c>
      <c r="Q140">
        <v>1</v>
      </c>
      <c r="R140">
        <v>1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592.00466100000006</v>
      </c>
      <c r="Z140">
        <v>87.550641999999996</v>
      </c>
      <c r="AB140">
        <v>1</v>
      </c>
      <c r="AC140">
        <v>6476</v>
      </c>
      <c r="AD140">
        <v>28</v>
      </c>
      <c r="AE140">
        <v>724</v>
      </c>
      <c r="AF140">
        <v>4</v>
      </c>
      <c r="AG140">
        <v>6476</v>
      </c>
      <c r="AH140">
        <v>28</v>
      </c>
      <c r="AI140">
        <v>724</v>
      </c>
      <c r="AJ140">
        <v>4</v>
      </c>
      <c r="AK140">
        <v>3.097</v>
      </c>
      <c r="AL140">
        <v>5</v>
      </c>
      <c r="AM140">
        <v>0.61939999999999995</v>
      </c>
    </row>
    <row r="141" spans="1:39" x14ac:dyDescent="0.3">
      <c r="A141" t="s">
        <v>179</v>
      </c>
      <c r="B141">
        <v>7746.0001169999996</v>
      </c>
      <c r="C141">
        <v>4.061E-2</v>
      </c>
      <c r="D141">
        <v>0</v>
      </c>
      <c r="E141">
        <v>57747.000119999997</v>
      </c>
      <c r="F141">
        <v>7746.0001169999996</v>
      </c>
      <c r="G141">
        <v>50001</v>
      </c>
      <c r="H141">
        <v>7746.0001169999996</v>
      </c>
      <c r="I141">
        <v>139.986931</v>
      </c>
      <c r="K141">
        <v>1</v>
      </c>
      <c r="M141">
        <v>57747.000119999997</v>
      </c>
      <c r="N141">
        <v>57747.000119999997</v>
      </c>
      <c r="O141">
        <v>1</v>
      </c>
      <c r="Q141">
        <v>1</v>
      </c>
      <c r="R141">
        <v>1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34.020980000000002</v>
      </c>
      <c r="Z141">
        <v>105.925341</v>
      </c>
      <c r="AB141">
        <v>1</v>
      </c>
      <c r="AC141">
        <v>4348</v>
      </c>
      <c r="AD141">
        <v>49</v>
      </c>
      <c r="AE141">
        <v>2318</v>
      </c>
      <c r="AF141">
        <v>10</v>
      </c>
      <c r="AG141">
        <v>4348</v>
      </c>
      <c r="AH141">
        <v>49</v>
      </c>
      <c r="AI141">
        <v>2318</v>
      </c>
      <c r="AJ141">
        <v>10</v>
      </c>
      <c r="AK141">
        <v>9.3529999999999998</v>
      </c>
      <c r="AL141">
        <v>13</v>
      </c>
      <c r="AM141">
        <v>0.71946200000000005</v>
      </c>
    </row>
    <row r="142" spans="1:39" x14ac:dyDescent="0.3">
      <c r="A142" t="s">
        <v>180</v>
      </c>
      <c r="B142">
        <v>8215.9998599999999</v>
      </c>
      <c r="C142">
        <v>4.0633000000000002E-2</v>
      </c>
      <c r="D142">
        <v>0</v>
      </c>
      <c r="E142">
        <v>58217.999860000004</v>
      </c>
      <c r="F142">
        <v>8215.9998039999991</v>
      </c>
      <c r="G142">
        <v>50002</v>
      </c>
      <c r="H142">
        <v>8215.9998599999999</v>
      </c>
      <c r="I142">
        <v>97.890277999999995</v>
      </c>
      <c r="K142">
        <v>1</v>
      </c>
      <c r="M142">
        <v>58217.999799999998</v>
      </c>
      <c r="N142">
        <v>58217.999860000004</v>
      </c>
      <c r="O142">
        <v>1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41.110185999999999</v>
      </c>
      <c r="Z142">
        <v>56.739458999999997</v>
      </c>
      <c r="AB142">
        <v>1</v>
      </c>
      <c r="AC142">
        <v>1769</v>
      </c>
      <c r="AD142">
        <v>16</v>
      </c>
      <c r="AE142">
        <v>192</v>
      </c>
      <c r="AF142">
        <v>9</v>
      </c>
      <c r="AG142">
        <v>1769</v>
      </c>
      <c r="AH142">
        <v>16</v>
      </c>
      <c r="AI142">
        <v>192</v>
      </c>
      <c r="AJ142">
        <v>9</v>
      </c>
      <c r="AK142">
        <v>5.9630000000000001</v>
      </c>
      <c r="AL142">
        <v>10</v>
      </c>
      <c r="AM142">
        <v>0.59630000000000005</v>
      </c>
    </row>
    <row r="143" spans="1:39" x14ac:dyDescent="0.3">
      <c r="A143" t="s">
        <v>227</v>
      </c>
      <c r="B143">
        <v>8000.0008760000001</v>
      </c>
      <c r="C143">
        <v>4.1980000000000003E-2</v>
      </c>
      <c r="D143">
        <v>0</v>
      </c>
      <c r="E143">
        <v>68001.000880000007</v>
      </c>
      <c r="F143">
        <v>7999.9997110000004</v>
      </c>
      <c r="G143">
        <v>60001</v>
      </c>
      <c r="H143">
        <v>8000.0008760000001</v>
      </c>
      <c r="I143">
        <v>2353.7880740000001</v>
      </c>
      <c r="K143">
        <v>4</v>
      </c>
      <c r="M143">
        <v>68000.999710000004</v>
      </c>
      <c r="N143">
        <v>68001.000880000007</v>
      </c>
      <c r="O143">
        <v>1</v>
      </c>
      <c r="Q143">
        <v>1</v>
      </c>
      <c r="R143">
        <v>1</v>
      </c>
      <c r="S143">
        <v>0</v>
      </c>
      <c r="T143">
        <v>0</v>
      </c>
      <c r="U143">
        <v>0</v>
      </c>
      <c r="V143">
        <v>2</v>
      </c>
      <c r="W143">
        <v>1</v>
      </c>
      <c r="X143">
        <v>1408.013866</v>
      </c>
      <c r="Z143">
        <v>945.73222799999996</v>
      </c>
      <c r="AB143">
        <v>4</v>
      </c>
      <c r="AC143">
        <v>37014</v>
      </c>
      <c r="AD143">
        <v>162</v>
      </c>
      <c r="AE143">
        <v>15885</v>
      </c>
      <c r="AF143">
        <v>197</v>
      </c>
      <c r="AG143">
        <v>9253</v>
      </c>
      <c r="AH143">
        <v>40</v>
      </c>
      <c r="AI143">
        <v>3971</v>
      </c>
      <c r="AJ143">
        <v>49</v>
      </c>
      <c r="AK143">
        <v>123.55800000000001</v>
      </c>
      <c r="AL143">
        <v>208</v>
      </c>
      <c r="AM143">
        <v>0.59402900000000003</v>
      </c>
    </row>
    <row r="144" spans="1:39" s="4" customFormat="1" x14ac:dyDescent="0.3">
      <c r="A144" s="4" t="s">
        <v>228</v>
      </c>
      <c r="B144" s="4">
        <v>7616.0003420000003</v>
      </c>
      <c r="C144" s="4">
        <v>3.1829000000000003E-2</v>
      </c>
      <c r="D144" s="4">
        <v>0</v>
      </c>
      <c r="E144" s="4">
        <v>67617.000339999999</v>
      </c>
      <c r="F144" s="4">
        <v>7616.0003200000001</v>
      </c>
      <c r="G144" s="4">
        <v>60001</v>
      </c>
      <c r="H144" s="4">
        <v>7616.0003420000003</v>
      </c>
      <c r="I144" s="4">
        <v>2365.6775870000001</v>
      </c>
      <c r="K144" s="4">
        <v>1</v>
      </c>
      <c r="M144" s="4">
        <v>67617.000320000006</v>
      </c>
      <c r="N144" s="4">
        <v>67617.000339999999</v>
      </c>
      <c r="O144" s="4">
        <v>1</v>
      </c>
      <c r="Q144" s="4">
        <v>1</v>
      </c>
      <c r="R144" s="4">
        <v>1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2343.0747200000001</v>
      </c>
      <c r="Z144" s="4">
        <v>22.571038000000001</v>
      </c>
      <c r="AB144" s="4">
        <v>1</v>
      </c>
      <c r="AC144" s="4">
        <v>366</v>
      </c>
      <c r="AD144" s="4">
        <v>2</v>
      </c>
      <c r="AE144" s="4">
        <v>23</v>
      </c>
      <c r="AF144" s="4">
        <v>6</v>
      </c>
      <c r="AG144" s="4">
        <v>366</v>
      </c>
      <c r="AH144" s="4">
        <v>2</v>
      </c>
      <c r="AI144" s="4">
        <v>23</v>
      </c>
      <c r="AJ144" s="4">
        <v>6</v>
      </c>
      <c r="AK144" s="4">
        <v>4.3959999999999999</v>
      </c>
      <c r="AL144" s="4">
        <v>7</v>
      </c>
      <c r="AM144" s="4">
        <v>0.628</v>
      </c>
    </row>
    <row r="145" spans="1:39" x14ac:dyDescent="0.3">
      <c r="A145" t="s">
        <v>243</v>
      </c>
      <c r="B145">
        <v>7647.99856</v>
      </c>
      <c r="C145">
        <v>3.3779000000000003E-2</v>
      </c>
      <c r="D145">
        <v>0</v>
      </c>
      <c r="E145">
        <v>67648.998560000007</v>
      </c>
      <c r="F145">
        <v>9115.9993489999997</v>
      </c>
      <c r="G145">
        <v>60001</v>
      </c>
      <c r="H145">
        <v>7647.99856</v>
      </c>
      <c r="I145">
        <v>6893.4881680000008</v>
      </c>
      <c r="K145">
        <v>2</v>
      </c>
      <c r="M145">
        <v>69116.999349999998</v>
      </c>
      <c r="N145">
        <v>67648.998560000007</v>
      </c>
      <c r="O145">
        <v>-1</v>
      </c>
      <c r="Q145" s="4">
        <v>-1</v>
      </c>
      <c r="R145">
        <v>-1</v>
      </c>
      <c r="S145">
        <v>-1</v>
      </c>
      <c r="T145">
        <v>8.0835000000000004E-2</v>
      </c>
      <c r="U145">
        <v>-1</v>
      </c>
      <c r="V145">
        <v>0</v>
      </c>
      <c r="W145">
        <v>0</v>
      </c>
      <c r="X145">
        <v>5180.0071390000003</v>
      </c>
      <c r="Z145">
        <v>1713.4472499999999</v>
      </c>
      <c r="AB145">
        <v>1</v>
      </c>
      <c r="AC145">
        <v>49367</v>
      </c>
      <c r="AD145">
        <v>50</v>
      </c>
      <c r="AE145">
        <v>8659</v>
      </c>
      <c r="AF145">
        <v>107</v>
      </c>
      <c r="AG145">
        <v>24683</v>
      </c>
      <c r="AH145">
        <v>25</v>
      </c>
      <c r="AI145">
        <v>4329</v>
      </c>
      <c r="AJ145">
        <v>53</v>
      </c>
      <c r="AK145">
        <v>46.107999999999997</v>
      </c>
      <c r="AL145">
        <v>113</v>
      </c>
      <c r="AM145">
        <v>0.40803499999999998</v>
      </c>
    </row>
    <row r="146" spans="1:39" x14ac:dyDescent="0.3">
      <c r="A146" t="s">
        <v>241</v>
      </c>
      <c r="B146">
        <v>7713.998439</v>
      </c>
      <c r="C146">
        <v>4.2171E-2</v>
      </c>
      <c r="D146">
        <v>0</v>
      </c>
      <c r="E146">
        <v>67714.998439999996</v>
      </c>
      <c r="F146">
        <v>-1</v>
      </c>
      <c r="G146">
        <v>60001</v>
      </c>
      <c r="H146">
        <v>7713.998439</v>
      </c>
      <c r="I146">
        <v>4382.8557780000001</v>
      </c>
      <c r="K146">
        <v>3</v>
      </c>
      <c r="M146">
        <v>73098.999630000006</v>
      </c>
      <c r="N146">
        <v>67714.998439999996</v>
      </c>
      <c r="O146">
        <v>-1</v>
      </c>
      <c r="Q146">
        <v>1</v>
      </c>
      <c r="R146">
        <v>-1</v>
      </c>
      <c r="S146">
        <v>-1</v>
      </c>
      <c r="T146">
        <v>0</v>
      </c>
      <c r="U146">
        <v>-1</v>
      </c>
      <c r="V146">
        <v>0</v>
      </c>
      <c r="W146">
        <v>1</v>
      </c>
      <c r="X146">
        <v>3271.3454000000002</v>
      </c>
      <c r="Z146">
        <v>1111.4682069999999</v>
      </c>
      <c r="AB146">
        <v>3</v>
      </c>
      <c r="AC146">
        <v>85047</v>
      </c>
      <c r="AD146">
        <v>28</v>
      </c>
      <c r="AE146">
        <v>2696</v>
      </c>
      <c r="AF146">
        <v>784</v>
      </c>
      <c r="AG146">
        <v>28349</v>
      </c>
      <c r="AH146">
        <v>9</v>
      </c>
      <c r="AI146">
        <v>898</v>
      </c>
      <c r="AJ146">
        <v>261</v>
      </c>
      <c r="AK146">
        <v>460.04</v>
      </c>
      <c r="AL146">
        <v>786</v>
      </c>
      <c r="AM146">
        <v>0.58529299999999995</v>
      </c>
    </row>
    <row r="147" spans="1:39" x14ac:dyDescent="0.3">
      <c r="A147" t="s">
        <v>237</v>
      </c>
      <c r="B147">
        <v>7647.99856</v>
      </c>
      <c r="C147">
        <v>3.1869000000000001E-2</v>
      </c>
      <c r="D147">
        <v>0</v>
      </c>
      <c r="E147">
        <v>67648.998560000007</v>
      </c>
      <c r="F147">
        <v>-1</v>
      </c>
      <c r="G147">
        <v>60001</v>
      </c>
      <c r="H147">
        <v>7647.99856</v>
      </c>
      <c r="I147">
        <v>3937.2170269999997</v>
      </c>
      <c r="K147">
        <v>4</v>
      </c>
      <c r="M147">
        <v>67864.999500000005</v>
      </c>
      <c r="N147">
        <v>67648.998560000007</v>
      </c>
      <c r="O147">
        <v>-1</v>
      </c>
      <c r="Q147">
        <v>1</v>
      </c>
      <c r="R147">
        <v>-1</v>
      </c>
      <c r="S147">
        <v>-1</v>
      </c>
      <c r="T147">
        <v>0</v>
      </c>
      <c r="U147">
        <v>-1</v>
      </c>
      <c r="V147">
        <v>0</v>
      </c>
      <c r="W147">
        <v>2</v>
      </c>
      <c r="X147">
        <v>1691.0780400000001</v>
      </c>
      <c r="Z147">
        <v>2246.1071179999999</v>
      </c>
      <c r="AB147">
        <v>4</v>
      </c>
      <c r="AC147">
        <v>24680</v>
      </c>
      <c r="AD147">
        <v>97</v>
      </c>
      <c r="AE147">
        <v>13794</v>
      </c>
      <c r="AF147">
        <v>2330</v>
      </c>
      <c r="AG147">
        <v>6170</v>
      </c>
      <c r="AH147">
        <v>24</v>
      </c>
      <c r="AI147">
        <v>3448</v>
      </c>
      <c r="AJ147">
        <v>582</v>
      </c>
      <c r="AK147">
        <v>1401.626</v>
      </c>
      <c r="AL147">
        <v>2337</v>
      </c>
      <c r="AM147">
        <v>0.59975400000000001</v>
      </c>
    </row>
    <row r="148" spans="1:39" x14ac:dyDescent="0.3">
      <c r="A148" t="s">
        <v>230</v>
      </c>
      <c r="B148">
        <v>7697.9959140000001</v>
      </c>
      <c r="C148">
        <v>4.3353999999999997E-2</v>
      </c>
      <c r="D148">
        <v>0</v>
      </c>
      <c r="E148">
        <v>67698.995909999998</v>
      </c>
      <c r="F148">
        <v>-1</v>
      </c>
      <c r="G148">
        <v>60001</v>
      </c>
      <c r="H148">
        <v>7697.9959140000001</v>
      </c>
      <c r="I148">
        <v>3605.072169</v>
      </c>
      <c r="K148">
        <v>23</v>
      </c>
      <c r="M148">
        <v>67699.000480000002</v>
      </c>
      <c r="N148">
        <v>67698.995909999998</v>
      </c>
      <c r="O148">
        <v>-1</v>
      </c>
      <c r="Q148">
        <v>1</v>
      </c>
      <c r="R148">
        <v>-1</v>
      </c>
      <c r="S148">
        <v>-1</v>
      </c>
      <c r="T148">
        <v>0</v>
      </c>
      <c r="U148">
        <v>-1</v>
      </c>
      <c r="V148">
        <v>0</v>
      </c>
      <c r="W148">
        <v>21</v>
      </c>
      <c r="X148">
        <v>1632.5651359999999</v>
      </c>
      <c r="Z148">
        <v>1972.463679</v>
      </c>
      <c r="AB148">
        <v>23</v>
      </c>
      <c r="AC148">
        <v>60587</v>
      </c>
      <c r="AD148">
        <v>666</v>
      </c>
      <c r="AE148">
        <v>29756</v>
      </c>
      <c r="AF148">
        <v>491</v>
      </c>
      <c r="AG148">
        <v>2634</v>
      </c>
      <c r="AH148">
        <v>28</v>
      </c>
      <c r="AI148">
        <v>1293</v>
      </c>
      <c r="AJ148">
        <v>21</v>
      </c>
      <c r="AK148">
        <v>321.92899999999997</v>
      </c>
      <c r="AL148">
        <v>531</v>
      </c>
      <c r="AM148">
        <v>0.60626899999999995</v>
      </c>
    </row>
    <row r="149" spans="1:39" x14ac:dyDescent="0.3">
      <c r="A149" t="s">
        <v>231</v>
      </c>
      <c r="B149">
        <v>7744.0002500000001</v>
      </c>
      <c r="C149">
        <v>3.8994000000000001E-2</v>
      </c>
      <c r="D149">
        <v>0</v>
      </c>
      <c r="E149">
        <v>57745.000249999997</v>
      </c>
      <c r="F149">
        <v>-1</v>
      </c>
      <c r="G149">
        <v>50001</v>
      </c>
      <c r="H149">
        <v>7744.0002500000001</v>
      </c>
      <c r="I149">
        <v>3600.153855</v>
      </c>
      <c r="K149">
        <v>16</v>
      </c>
      <c r="M149">
        <v>57813.000260000001</v>
      </c>
      <c r="N149">
        <v>57745.000249999997</v>
      </c>
      <c r="O149">
        <v>-1</v>
      </c>
      <c r="Q149">
        <v>1</v>
      </c>
      <c r="R149">
        <v>-1</v>
      </c>
      <c r="S149">
        <v>-1</v>
      </c>
      <c r="T149">
        <v>0</v>
      </c>
      <c r="U149">
        <v>-1</v>
      </c>
      <c r="V149">
        <v>2</v>
      </c>
      <c r="W149">
        <v>12</v>
      </c>
      <c r="X149">
        <v>612.03290100000004</v>
      </c>
      <c r="Z149">
        <v>2988.08196</v>
      </c>
      <c r="AB149">
        <v>16</v>
      </c>
      <c r="AC149">
        <v>102094</v>
      </c>
      <c r="AD149">
        <v>593</v>
      </c>
      <c r="AE149">
        <v>44886</v>
      </c>
      <c r="AF149">
        <v>789</v>
      </c>
      <c r="AG149">
        <v>6380</v>
      </c>
      <c r="AH149">
        <v>37</v>
      </c>
      <c r="AI149">
        <v>2805</v>
      </c>
      <c r="AJ149">
        <v>49</v>
      </c>
      <c r="AK149">
        <v>494.572</v>
      </c>
      <c r="AL149">
        <v>826</v>
      </c>
      <c r="AM149">
        <v>0.59875500000000004</v>
      </c>
    </row>
    <row r="150" spans="1:39" x14ac:dyDescent="0.3">
      <c r="A150" t="s">
        <v>232</v>
      </c>
      <c r="B150">
        <v>7711.996717</v>
      </c>
      <c r="C150">
        <v>4.4678000000000002E-2</v>
      </c>
      <c r="D150">
        <v>0</v>
      </c>
      <c r="E150">
        <v>57712.996720000003</v>
      </c>
      <c r="F150">
        <v>-1</v>
      </c>
      <c r="G150">
        <v>50001</v>
      </c>
      <c r="H150">
        <v>7711.996717</v>
      </c>
      <c r="I150">
        <v>3600.6845759999997</v>
      </c>
      <c r="K150">
        <v>18</v>
      </c>
      <c r="M150">
        <v>57849.000310000003</v>
      </c>
      <c r="N150">
        <v>57712.996720000003</v>
      </c>
      <c r="O150">
        <v>-1</v>
      </c>
      <c r="Q150">
        <v>1</v>
      </c>
      <c r="R150">
        <v>-1</v>
      </c>
      <c r="S150">
        <v>-1</v>
      </c>
      <c r="T150">
        <v>0</v>
      </c>
      <c r="U150">
        <v>-1</v>
      </c>
      <c r="V150">
        <v>0</v>
      </c>
      <c r="W150">
        <v>16</v>
      </c>
      <c r="X150">
        <v>506.155439</v>
      </c>
      <c r="Z150">
        <v>3094.4844589999998</v>
      </c>
      <c r="AB150">
        <v>18</v>
      </c>
      <c r="AC150">
        <v>92858</v>
      </c>
      <c r="AD150">
        <v>454</v>
      </c>
      <c r="AE150">
        <v>37427</v>
      </c>
      <c r="AF150">
        <v>2039</v>
      </c>
      <c r="AG150">
        <v>5158</v>
      </c>
      <c r="AH150">
        <v>25</v>
      </c>
      <c r="AI150">
        <v>2079</v>
      </c>
      <c r="AJ150">
        <v>113</v>
      </c>
      <c r="AK150">
        <v>1224.105</v>
      </c>
      <c r="AL150">
        <v>2076</v>
      </c>
      <c r="AM150">
        <v>0.589646</v>
      </c>
    </row>
    <row r="151" spans="1:39" s="1" customFormat="1" x14ac:dyDescent="0.3">
      <c r="A151" s="1" t="s">
        <v>233</v>
      </c>
      <c r="B151" s="1">
        <v>8160.0005810000002</v>
      </c>
      <c r="C151" s="1">
        <v>2.9277000000000001E-2</v>
      </c>
      <c r="D151" s="1">
        <v>0</v>
      </c>
      <c r="E151" s="1">
        <v>58161.00058</v>
      </c>
      <c r="F151" s="1">
        <v>-1</v>
      </c>
      <c r="G151" s="1">
        <v>50001</v>
      </c>
      <c r="H151" s="1">
        <v>8160.0005810000002</v>
      </c>
      <c r="I151" s="1">
        <v>3600.1709110000002</v>
      </c>
      <c r="K151" s="1">
        <v>1</v>
      </c>
      <c r="M151" s="1">
        <v>100000</v>
      </c>
      <c r="N151" s="1">
        <v>58161.00058</v>
      </c>
      <c r="O151" s="1">
        <v>-1</v>
      </c>
      <c r="Q151" s="1">
        <v>1</v>
      </c>
      <c r="R151" s="1">
        <v>-1</v>
      </c>
      <c r="S151" s="1">
        <v>-1</v>
      </c>
      <c r="T151" s="1">
        <v>0</v>
      </c>
      <c r="U151" s="1">
        <v>-1</v>
      </c>
      <c r="V151" s="1">
        <v>-1</v>
      </c>
      <c r="W151" s="1">
        <v>0</v>
      </c>
      <c r="X151" s="1">
        <v>55.605981999999997</v>
      </c>
      <c r="Z151" s="1">
        <v>3544.535652</v>
      </c>
      <c r="AB151" s="1">
        <v>1</v>
      </c>
      <c r="AC151" s="1">
        <v>28324</v>
      </c>
      <c r="AD151" s="1">
        <v>53</v>
      </c>
      <c r="AE151" s="1">
        <v>11981</v>
      </c>
      <c r="AF151" s="1">
        <v>198</v>
      </c>
      <c r="AG151" s="1">
        <v>28324</v>
      </c>
      <c r="AH151" s="1">
        <v>53</v>
      </c>
      <c r="AI151" s="1">
        <v>11981</v>
      </c>
      <c r="AJ151" s="1">
        <v>198</v>
      </c>
      <c r="AK151" s="1">
        <v>125.04600000000001</v>
      </c>
      <c r="AL151" s="1">
        <v>209</v>
      </c>
      <c r="AM151" s="1">
        <v>0.598306</v>
      </c>
    </row>
    <row r="152" spans="1:39" x14ac:dyDescent="0.3">
      <c r="A152" t="s">
        <v>193</v>
      </c>
      <c r="B152">
        <v>9219.999683</v>
      </c>
      <c r="C152">
        <v>5.2410999999999999E-2</v>
      </c>
      <c r="D152">
        <v>0</v>
      </c>
      <c r="E152">
        <v>129221.9997</v>
      </c>
      <c r="F152">
        <v>9220.0000959999998</v>
      </c>
      <c r="G152">
        <v>120002</v>
      </c>
      <c r="H152">
        <v>9219.999683</v>
      </c>
      <c r="I152">
        <v>223.67193300000002</v>
      </c>
      <c r="J152">
        <v>444.95953817391296</v>
      </c>
      <c r="K152">
        <v>1</v>
      </c>
      <c r="L152">
        <f>AVERAGE(K152:K174)</f>
        <v>1</v>
      </c>
      <c r="M152">
        <v>100000</v>
      </c>
      <c r="N152">
        <v>129221.9997</v>
      </c>
      <c r="O152">
        <v>1</v>
      </c>
      <c r="P152">
        <v>23</v>
      </c>
      <c r="Q152">
        <v>1</v>
      </c>
      <c r="R152">
        <v>1</v>
      </c>
      <c r="S152">
        <v>0</v>
      </c>
      <c r="T152">
        <v>0</v>
      </c>
      <c r="U152">
        <v>0</v>
      </c>
      <c r="V152">
        <v>-1</v>
      </c>
      <c r="W152">
        <v>1</v>
      </c>
      <c r="X152">
        <v>88.536613000000003</v>
      </c>
      <c r="Y152">
        <v>253.1616955652174</v>
      </c>
      <c r="Z152">
        <v>135.082909</v>
      </c>
      <c r="AA152">
        <v>191.75090117391301</v>
      </c>
      <c r="AB152">
        <v>1</v>
      </c>
      <c r="AC152">
        <v>4340</v>
      </c>
      <c r="AD152">
        <v>50</v>
      </c>
      <c r="AE152">
        <v>2312</v>
      </c>
      <c r="AF152">
        <v>9</v>
      </c>
      <c r="AG152">
        <v>4340</v>
      </c>
      <c r="AH152">
        <v>50</v>
      </c>
      <c r="AI152">
        <v>2312</v>
      </c>
      <c r="AJ152">
        <v>9</v>
      </c>
      <c r="AK152">
        <v>18.324000000000002</v>
      </c>
      <c r="AL152">
        <v>15</v>
      </c>
      <c r="AM152">
        <v>1.2216</v>
      </c>
    </row>
    <row r="153" spans="1:39" x14ac:dyDescent="0.3">
      <c r="A153" t="s">
        <v>196</v>
      </c>
      <c r="B153">
        <v>9313.3338989999993</v>
      </c>
      <c r="C153">
        <v>5.2171000000000002E-2</v>
      </c>
      <c r="D153">
        <v>0</v>
      </c>
      <c r="E153">
        <v>129315.3339</v>
      </c>
      <c r="F153">
        <v>9313.3338829999993</v>
      </c>
      <c r="G153">
        <v>120002</v>
      </c>
      <c r="H153">
        <v>9313.3338989999993</v>
      </c>
      <c r="I153">
        <v>202.33104500000002</v>
      </c>
      <c r="K153">
        <v>1</v>
      </c>
      <c r="M153">
        <v>100000</v>
      </c>
      <c r="N153">
        <v>129315.3339</v>
      </c>
      <c r="O153">
        <v>1</v>
      </c>
      <c r="Q153">
        <v>1</v>
      </c>
      <c r="R153">
        <v>1</v>
      </c>
      <c r="S153">
        <v>0</v>
      </c>
      <c r="T153">
        <v>0</v>
      </c>
      <c r="U153">
        <v>0</v>
      </c>
      <c r="V153">
        <v>-1</v>
      </c>
      <c r="W153">
        <v>1</v>
      </c>
      <c r="X153">
        <v>105.128123</v>
      </c>
      <c r="Z153">
        <v>97.150751</v>
      </c>
      <c r="AB153">
        <v>1</v>
      </c>
      <c r="AC153">
        <v>1487</v>
      </c>
      <c r="AD153">
        <v>28</v>
      </c>
      <c r="AE153">
        <v>747</v>
      </c>
      <c r="AF153">
        <v>2</v>
      </c>
      <c r="AG153">
        <v>1487</v>
      </c>
      <c r="AH153">
        <v>28</v>
      </c>
      <c r="AI153">
        <v>747</v>
      </c>
      <c r="AJ153">
        <v>2</v>
      </c>
      <c r="AK153">
        <v>5.2069999999999999</v>
      </c>
      <c r="AL153">
        <v>4</v>
      </c>
      <c r="AM153">
        <v>1.30175</v>
      </c>
    </row>
    <row r="154" spans="1:39" x14ac:dyDescent="0.3">
      <c r="A154" t="s">
        <v>197</v>
      </c>
      <c r="B154">
        <v>9839.9993840000006</v>
      </c>
      <c r="C154">
        <v>3.7858000000000003E-2</v>
      </c>
      <c r="D154">
        <v>0</v>
      </c>
      <c r="E154">
        <v>129841.9994</v>
      </c>
      <c r="F154">
        <v>9839.9993840000006</v>
      </c>
      <c r="G154">
        <v>120002</v>
      </c>
      <c r="H154">
        <v>9839.9993840000006</v>
      </c>
      <c r="I154">
        <v>257.69064600000002</v>
      </c>
      <c r="K154">
        <v>1</v>
      </c>
      <c r="M154">
        <v>100000</v>
      </c>
      <c r="N154">
        <v>129841.9994</v>
      </c>
      <c r="O154">
        <v>1</v>
      </c>
      <c r="Q154">
        <v>1</v>
      </c>
      <c r="R154">
        <v>1</v>
      </c>
      <c r="S154">
        <v>0</v>
      </c>
      <c r="T154">
        <v>0</v>
      </c>
      <c r="U154">
        <v>0</v>
      </c>
      <c r="V154">
        <v>-1</v>
      </c>
      <c r="W154">
        <v>1</v>
      </c>
      <c r="X154">
        <v>74.20326</v>
      </c>
      <c r="Z154">
        <v>183.44952799999999</v>
      </c>
      <c r="AB154">
        <v>1</v>
      </c>
      <c r="AC154">
        <v>3242</v>
      </c>
      <c r="AD154">
        <v>39</v>
      </c>
      <c r="AE154">
        <v>2055</v>
      </c>
      <c r="AF154">
        <v>173</v>
      </c>
      <c r="AG154">
        <v>3242</v>
      </c>
      <c r="AH154">
        <v>39</v>
      </c>
      <c r="AI154">
        <v>2055</v>
      </c>
      <c r="AJ154">
        <v>173</v>
      </c>
      <c r="AK154">
        <v>116.715</v>
      </c>
      <c r="AL154">
        <v>174</v>
      </c>
      <c r="AM154">
        <v>0.67077600000000004</v>
      </c>
    </row>
    <row r="155" spans="1:39" x14ac:dyDescent="0.3">
      <c r="A155" t="s">
        <v>199</v>
      </c>
      <c r="B155">
        <v>9140.0006290000001</v>
      </c>
      <c r="C155">
        <v>4.8093999999999998E-2</v>
      </c>
      <c r="D155">
        <v>0</v>
      </c>
      <c r="E155">
        <v>129146.0006</v>
      </c>
      <c r="F155">
        <v>9140.0006290000001</v>
      </c>
      <c r="G155">
        <v>120006</v>
      </c>
      <c r="H155">
        <v>9140.0006290000001</v>
      </c>
      <c r="I155">
        <v>324.36511000000002</v>
      </c>
      <c r="K155">
        <v>1</v>
      </c>
      <c r="M155">
        <v>100000</v>
      </c>
      <c r="N155">
        <v>129146.0006</v>
      </c>
      <c r="O155">
        <v>1</v>
      </c>
      <c r="Q155">
        <v>1</v>
      </c>
      <c r="R155">
        <v>1</v>
      </c>
      <c r="S155">
        <v>0</v>
      </c>
      <c r="T155">
        <v>0</v>
      </c>
      <c r="U155">
        <v>0</v>
      </c>
      <c r="V155">
        <v>-1</v>
      </c>
      <c r="W155">
        <v>1</v>
      </c>
      <c r="X155">
        <v>157.10539600000001</v>
      </c>
      <c r="Z155">
        <v>167.21162000000001</v>
      </c>
      <c r="AB155">
        <v>1</v>
      </c>
      <c r="AC155">
        <v>9734</v>
      </c>
      <c r="AD155">
        <v>38</v>
      </c>
      <c r="AE155">
        <v>1283</v>
      </c>
      <c r="AF155">
        <v>1</v>
      </c>
      <c r="AG155">
        <v>9734</v>
      </c>
      <c r="AH155">
        <v>38</v>
      </c>
      <c r="AI155">
        <v>1283</v>
      </c>
      <c r="AJ155">
        <v>1</v>
      </c>
      <c r="AK155">
        <v>2.3149999999999999</v>
      </c>
      <c r="AL155">
        <v>2</v>
      </c>
      <c r="AM155">
        <v>1.1575</v>
      </c>
    </row>
    <row r="156" spans="1:39" x14ac:dyDescent="0.3">
      <c r="A156" t="s">
        <v>201</v>
      </c>
      <c r="B156">
        <v>9259.9999250000001</v>
      </c>
      <c r="C156">
        <v>5.2796999999999997E-2</v>
      </c>
      <c r="D156">
        <v>0</v>
      </c>
      <c r="E156">
        <v>129262.9999</v>
      </c>
      <c r="F156">
        <v>9259.9998410000007</v>
      </c>
      <c r="G156">
        <v>120003</v>
      </c>
      <c r="H156">
        <v>9259.9999250000001</v>
      </c>
      <c r="I156">
        <v>269.83042499999999</v>
      </c>
      <c r="K156">
        <v>1</v>
      </c>
      <c r="M156">
        <v>100000</v>
      </c>
      <c r="N156">
        <v>129262.9999</v>
      </c>
      <c r="O156">
        <v>1</v>
      </c>
      <c r="Q156">
        <v>1</v>
      </c>
      <c r="R156">
        <v>1</v>
      </c>
      <c r="S156">
        <v>0</v>
      </c>
      <c r="T156">
        <v>0</v>
      </c>
      <c r="U156">
        <v>0</v>
      </c>
      <c r="V156">
        <v>-1</v>
      </c>
      <c r="W156">
        <v>1</v>
      </c>
      <c r="X156">
        <v>146.90980300000001</v>
      </c>
      <c r="Z156">
        <v>122.867825</v>
      </c>
      <c r="AB156">
        <v>1</v>
      </c>
      <c r="AC156">
        <v>6175</v>
      </c>
      <c r="AD156">
        <v>47</v>
      </c>
      <c r="AE156">
        <v>1082</v>
      </c>
      <c r="AF156">
        <v>7</v>
      </c>
      <c r="AG156">
        <v>6175</v>
      </c>
      <c r="AH156">
        <v>47</v>
      </c>
      <c r="AI156">
        <v>1082</v>
      </c>
      <c r="AJ156">
        <v>7</v>
      </c>
      <c r="AK156">
        <v>10.324</v>
      </c>
      <c r="AL156">
        <v>9</v>
      </c>
      <c r="AM156">
        <v>1.147111</v>
      </c>
    </row>
    <row r="157" spans="1:39" x14ac:dyDescent="0.3">
      <c r="A157" t="s">
        <v>202</v>
      </c>
      <c r="B157">
        <v>9226.6648409999998</v>
      </c>
      <c r="C157">
        <v>3.5979999999999998E-2</v>
      </c>
      <c r="D157">
        <v>0</v>
      </c>
      <c r="E157">
        <v>129230.6648</v>
      </c>
      <c r="F157">
        <v>9226.6648210000003</v>
      </c>
      <c r="G157">
        <v>120004</v>
      </c>
      <c r="H157">
        <v>9226.6648409999998</v>
      </c>
      <c r="I157">
        <v>265.98178999999999</v>
      </c>
      <c r="K157">
        <v>1</v>
      </c>
      <c r="M157">
        <v>100000</v>
      </c>
      <c r="N157">
        <v>129230.6648</v>
      </c>
      <c r="O157">
        <v>1</v>
      </c>
      <c r="Q157">
        <v>1</v>
      </c>
      <c r="R157">
        <v>1</v>
      </c>
      <c r="S157">
        <v>0</v>
      </c>
      <c r="T157">
        <v>0</v>
      </c>
      <c r="U157">
        <v>0</v>
      </c>
      <c r="V157">
        <v>-1</v>
      </c>
      <c r="W157">
        <v>1</v>
      </c>
      <c r="X157">
        <v>110.714618</v>
      </c>
      <c r="Z157">
        <v>155.23119199999999</v>
      </c>
      <c r="AB157">
        <v>1</v>
      </c>
      <c r="AC157">
        <v>6957</v>
      </c>
      <c r="AD157">
        <v>58</v>
      </c>
      <c r="AE157">
        <v>5651</v>
      </c>
      <c r="AF157">
        <v>21</v>
      </c>
      <c r="AG157">
        <v>6957</v>
      </c>
      <c r="AH157">
        <v>58</v>
      </c>
      <c r="AI157">
        <v>5651</v>
      </c>
      <c r="AJ157">
        <v>21</v>
      </c>
      <c r="AK157">
        <v>16.507999999999999</v>
      </c>
      <c r="AL157">
        <v>24</v>
      </c>
      <c r="AM157">
        <v>0.68783300000000003</v>
      </c>
    </row>
    <row r="158" spans="1:39" x14ac:dyDescent="0.3">
      <c r="A158" t="s">
        <v>206</v>
      </c>
      <c r="B158">
        <v>9199.9990849999995</v>
      </c>
      <c r="C158">
        <v>5.2683000000000001E-2</v>
      </c>
      <c r="D158">
        <v>0</v>
      </c>
      <c r="E158">
        <v>129202.9991</v>
      </c>
      <c r="F158">
        <v>9199.9989870000009</v>
      </c>
      <c r="G158">
        <v>120003</v>
      </c>
      <c r="H158">
        <v>9199.9990849999995</v>
      </c>
      <c r="I158">
        <v>325.957739</v>
      </c>
      <c r="K158">
        <v>1</v>
      </c>
      <c r="M158">
        <v>100000</v>
      </c>
      <c r="N158">
        <v>129202.9991</v>
      </c>
      <c r="O158">
        <v>1</v>
      </c>
      <c r="Q158">
        <v>1</v>
      </c>
      <c r="R158">
        <v>1</v>
      </c>
      <c r="S158">
        <v>0</v>
      </c>
      <c r="T158">
        <v>0</v>
      </c>
      <c r="U158">
        <v>0</v>
      </c>
      <c r="V158">
        <v>-1</v>
      </c>
      <c r="W158">
        <v>1</v>
      </c>
      <c r="X158">
        <v>192.934505</v>
      </c>
      <c r="Z158">
        <v>132.970551</v>
      </c>
      <c r="AB158">
        <v>1</v>
      </c>
      <c r="AC158">
        <v>1580</v>
      </c>
      <c r="AD158">
        <v>18</v>
      </c>
      <c r="AE158">
        <v>857</v>
      </c>
      <c r="AF158">
        <v>28</v>
      </c>
      <c r="AG158">
        <v>1580</v>
      </c>
      <c r="AH158">
        <v>18</v>
      </c>
      <c r="AI158">
        <v>857</v>
      </c>
      <c r="AJ158">
        <v>28</v>
      </c>
      <c r="AK158">
        <v>34.331000000000003</v>
      </c>
      <c r="AL158">
        <v>30</v>
      </c>
      <c r="AM158">
        <v>1.1443669999999999</v>
      </c>
    </row>
    <row r="159" spans="1:39" x14ac:dyDescent="0.3">
      <c r="A159" t="s">
        <v>207</v>
      </c>
      <c r="B159">
        <v>8840.0000689999997</v>
      </c>
      <c r="C159">
        <v>5.1611999999999998E-2</v>
      </c>
      <c r="D159">
        <v>0</v>
      </c>
      <c r="E159">
        <v>128844.0001</v>
      </c>
      <c r="F159">
        <v>8840.0000600000003</v>
      </c>
      <c r="G159">
        <v>120004</v>
      </c>
      <c r="H159">
        <v>8840.0000689999997</v>
      </c>
      <c r="I159">
        <v>262.538681</v>
      </c>
      <c r="K159">
        <v>1</v>
      </c>
      <c r="M159">
        <v>100000</v>
      </c>
      <c r="N159">
        <v>128844.0001</v>
      </c>
      <c r="O159">
        <v>1</v>
      </c>
      <c r="Q159">
        <v>1</v>
      </c>
      <c r="R159">
        <v>1</v>
      </c>
      <c r="S159">
        <v>0</v>
      </c>
      <c r="T159">
        <v>0</v>
      </c>
      <c r="U159">
        <v>0</v>
      </c>
      <c r="V159">
        <v>-1</v>
      </c>
      <c r="W159">
        <v>1</v>
      </c>
      <c r="X159">
        <v>94.466209000000006</v>
      </c>
      <c r="Z159">
        <v>168.02086</v>
      </c>
      <c r="AB159">
        <v>1</v>
      </c>
      <c r="AC159">
        <v>1933</v>
      </c>
      <c r="AD159">
        <v>48</v>
      </c>
      <c r="AE159">
        <v>2294</v>
      </c>
      <c r="AF159">
        <v>30</v>
      </c>
      <c r="AG159">
        <v>1933</v>
      </c>
      <c r="AH159">
        <v>48</v>
      </c>
      <c r="AI159">
        <v>2294</v>
      </c>
      <c r="AJ159">
        <v>30</v>
      </c>
      <c r="AK159">
        <v>36.683999999999997</v>
      </c>
      <c r="AL159">
        <v>31</v>
      </c>
      <c r="AM159">
        <v>1.1833549999999999</v>
      </c>
    </row>
    <row r="160" spans="1:39" x14ac:dyDescent="0.3">
      <c r="A160" t="s">
        <v>208</v>
      </c>
      <c r="B160">
        <v>9599.9990049999997</v>
      </c>
      <c r="C160">
        <v>4.9453999999999998E-2</v>
      </c>
      <c r="D160">
        <v>0</v>
      </c>
      <c r="E160">
        <v>119601.999</v>
      </c>
      <c r="F160">
        <v>9599.9988919999996</v>
      </c>
      <c r="G160">
        <v>110002</v>
      </c>
      <c r="H160">
        <v>9599.9990049999997</v>
      </c>
      <c r="I160">
        <v>388.662194</v>
      </c>
      <c r="K160">
        <v>1</v>
      </c>
      <c r="M160">
        <v>100000</v>
      </c>
      <c r="N160">
        <v>119601.999</v>
      </c>
      <c r="O160">
        <v>1</v>
      </c>
      <c r="Q160">
        <v>1</v>
      </c>
      <c r="R160">
        <v>1</v>
      </c>
      <c r="S160">
        <v>0</v>
      </c>
      <c r="T160">
        <v>0</v>
      </c>
      <c r="U160">
        <v>0</v>
      </c>
      <c r="V160">
        <v>-1</v>
      </c>
      <c r="W160">
        <v>1</v>
      </c>
      <c r="X160">
        <v>84.978129999999993</v>
      </c>
      <c r="Z160">
        <v>303.63461000000001</v>
      </c>
      <c r="AB160">
        <v>1</v>
      </c>
      <c r="AC160">
        <v>7058</v>
      </c>
      <c r="AD160">
        <v>52</v>
      </c>
      <c r="AE160">
        <v>1986</v>
      </c>
      <c r="AF160">
        <v>0</v>
      </c>
      <c r="AG160">
        <v>7058</v>
      </c>
      <c r="AH160">
        <v>52</v>
      </c>
      <c r="AI160">
        <v>1986</v>
      </c>
      <c r="AJ160">
        <v>0</v>
      </c>
      <c r="AK160">
        <v>5.4269999999999996</v>
      </c>
      <c r="AL160">
        <v>5</v>
      </c>
      <c r="AM160">
        <v>1.0853999999999999</v>
      </c>
    </row>
    <row r="161" spans="1:39" x14ac:dyDescent="0.3">
      <c r="A161" t="s">
        <v>209</v>
      </c>
      <c r="B161">
        <v>9279.9989220000007</v>
      </c>
      <c r="C161">
        <v>3.6589999999999998E-2</v>
      </c>
      <c r="D161">
        <v>0</v>
      </c>
      <c r="E161">
        <v>129283.99890000001</v>
      </c>
      <c r="F161">
        <v>9279.9989220000007</v>
      </c>
      <c r="G161">
        <v>120004</v>
      </c>
      <c r="H161">
        <v>9279.9989220000007</v>
      </c>
      <c r="I161">
        <v>283.81712099999999</v>
      </c>
      <c r="K161">
        <v>1</v>
      </c>
      <c r="M161">
        <v>100000</v>
      </c>
      <c r="N161">
        <v>129283.99890000001</v>
      </c>
      <c r="O161">
        <v>1</v>
      </c>
      <c r="Q161">
        <v>1</v>
      </c>
      <c r="R161">
        <v>1</v>
      </c>
      <c r="S161">
        <v>0</v>
      </c>
      <c r="T161">
        <v>0</v>
      </c>
      <c r="U161">
        <v>0</v>
      </c>
      <c r="V161">
        <v>-1</v>
      </c>
      <c r="W161">
        <v>1</v>
      </c>
      <c r="X161">
        <v>174.02761100000001</v>
      </c>
      <c r="Z161">
        <v>109.75292</v>
      </c>
      <c r="AB161">
        <v>1</v>
      </c>
      <c r="AC161">
        <v>6610</v>
      </c>
      <c r="AD161">
        <v>37</v>
      </c>
      <c r="AE161">
        <v>871</v>
      </c>
      <c r="AF161">
        <v>0</v>
      </c>
      <c r="AG161">
        <v>6610</v>
      </c>
      <c r="AH161">
        <v>37</v>
      </c>
      <c r="AI161">
        <v>871</v>
      </c>
      <c r="AJ161">
        <v>0</v>
      </c>
      <c r="AK161">
        <v>0.60599999999999998</v>
      </c>
      <c r="AL161">
        <v>1</v>
      </c>
      <c r="AM161">
        <v>0.60599999999999998</v>
      </c>
    </row>
    <row r="162" spans="1:39" x14ac:dyDescent="0.3">
      <c r="A162" t="s">
        <v>210</v>
      </c>
      <c r="B162">
        <v>9700.000489</v>
      </c>
      <c r="C162">
        <v>4.3445999999999999E-2</v>
      </c>
      <c r="D162">
        <v>0</v>
      </c>
      <c r="E162">
        <v>119706.00049999999</v>
      </c>
      <c r="F162">
        <v>9700.000489</v>
      </c>
      <c r="G162">
        <v>110006</v>
      </c>
      <c r="H162">
        <v>9700.000489</v>
      </c>
      <c r="I162">
        <v>204.421671</v>
      </c>
      <c r="K162">
        <v>1</v>
      </c>
      <c r="M162">
        <v>100000</v>
      </c>
      <c r="N162">
        <v>119706.00049999999</v>
      </c>
      <c r="O162">
        <v>1</v>
      </c>
      <c r="Q162">
        <v>1</v>
      </c>
      <c r="R162">
        <v>1</v>
      </c>
      <c r="S162">
        <v>0</v>
      </c>
      <c r="T162">
        <v>0</v>
      </c>
      <c r="U162">
        <v>0</v>
      </c>
      <c r="V162">
        <v>-1</v>
      </c>
      <c r="W162">
        <v>1</v>
      </c>
      <c r="X162">
        <v>72.909307999999996</v>
      </c>
      <c r="Z162">
        <v>131.468917</v>
      </c>
      <c r="AB162">
        <v>1</v>
      </c>
      <c r="AC162">
        <v>5207</v>
      </c>
      <c r="AD162">
        <v>38</v>
      </c>
      <c r="AE162">
        <v>1125</v>
      </c>
      <c r="AF162">
        <v>13</v>
      </c>
      <c r="AG162">
        <v>5207</v>
      </c>
      <c r="AH162">
        <v>38</v>
      </c>
      <c r="AI162">
        <v>1125</v>
      </c>
      <c r="AJ162">
        <v>13</v>
      </c>
      <c r="AK162">
        <v>12.125</v>
      </c>
      <c r="AL162">
        <v>14</v>
      </c>
      <c r="AM162">
        <v>0.86607100000000004</v>
      </c>
    </row>
    <row r="163" spans="1:39" x14ac:dyDescent="0.3">
      <c r="A163" t="s">
        <v>211</v>
      </c>
      <c r="B163">
        <v>9213.3329869999998</v>
      </c>
      <c r="C163">
        <v>4.7083E-2</v>
      </c>
      <c r="D163">
        <v>0</v>
      </c>
      <c r="E163">
        <v>129214.333</v>
      </c>
      <c r="F163">
        <v>9213.3328999999994</v>
      </c>
      <c r="G163">
        <v>120001</v>
      </c>
      <c r="H163">
        <v>9213.3329869999998</v>
      </c>
      <c r="I163">
        <v>500.16967199999999</v>
      </c>
      <c r="K163">
        <v>1</v>
      </c>
      <c r="M163">
        <v>100000</v>
      </c>
      <c r="N163">
        <v>129214.333</v>
      </c>
      <c r="O163">
        <v>1</v>
      </c>
      <c r="Q163">
        <v>1</v>
      </c>
      <c r="R163">
        <v>1</v>
      </c>
      <c r="S163">
        <v>0</v>
      </c>
      <c r="T163">
        <v>0</v>
      </c>
      <c r="U163">
        <v>0</v>
      </c>
      <c r="V163">
        <v>-1</v>
      </c>
      <c r="W163">
        <v>1</v>
      </c>
      <c r="X163">
        <v>262.287125</v>
      </c>
      <c r="Z163">
        <v>237.835464</v>
      </c>
      <c r="AB163">
        <v>1</v>
      </c>
      <c r="AC163">
        <v>9101</v>
      </c>
      <c r="AD163">
        <v>44</v>
      </c>
      <c r="AE163">
        <v>3381</v>
      </c>
      <c r="AF163">
        <v>34</v>
      </c>
      <c r="AG163">
        <v>9101</v>
      </c>
      <c r="AH163">
        <v>44</v>
      </c>
      <c r="AI163">
        <v>3381</v>
      </c>
      <c r="AJ163">
        <v>34</v>
      </c>
      <c r="AK163">
        <v>40.484000000000002</v>
      </c>
      <c r="AL163">
        <v>35</v>
      </c>
      <c r="AM163">
        <v>1.1566860000000001</v>
      </c>
    </row>
    <row r="164" spans="1:39" x14ac:dyDescent="0.3">
      <c r="A164" t="s">
        <v>212</v>
      </c>
      <c r="B164">
        <v>9899.9984980000008</v>
      </c>
      <c r="C164">
        <v>4.9327999999999997E-2</v>
      </c>
      <c r="D164">
        <v>0</v>
      </c>
      <c r="E164">
        <v>129903.9985</v>
      </c>
      <c r="F164">
        <v>9899.9984980000008</v>
      </c>
      <c r="G164">
        <v>120004</v>
      </c>
      <c r="H164">
        <v>9899.9984980000008</v>
      </c>
      <c r="I164">
        <v>412.09558600000003</v>
      </c>
      <c r="K164">
        <v>1</v>
      </c>
      <c r="M164">
        <v>100000</v>
      </c>
      <c r="N164">
        <v>129903.9985</v>
      </c>
      <c r="O164">
        <v>1</v>
      </c>
      <c r="Q164">
        <v>1</v>
      </c>
      <c r="R164">
        <v>1</v>
      </c>
      <c r="S164">
        <v>0</v>
      </c>
      <c r="T164">
        <v>0</v>
      </c>
      <c r="U164">
        <v>0</v>
      </c>
      <c r="V164">
        <v>-1</v>
      </c>
      <c r="W164">
        <v>1</v>
      </c>
      <c r="X164">
        <v>293.162713</v>
      </c>
      <c r="Z164">
        <v>118.883545</v>
      </c>
      <c r="AB164">
        <v>1</v>
      </c>
      <c r="AC164">
        <v>3669</v>
      </c>
      <c r="AD164">
        <v>44</v>
      </c>
      <c r="AE164">
        <v>1017</v>
      </c>
      <c r="AF164">
        <v>1</v>
      </c>
      <c r="AG164">
        <v>3669</v>
      </c>
      <c r="AH164">
        <v>44</v>
      </c>
      <c r="AI164">
        <v>1017</v>
      </c>
      <c r="AJ164">
        <v>1</v>
      </c>
      <c r="AK164">
        <v>2.3109999999999999</v>
      </c>
      <c r="AL164">
        <v>2</v>
      </c>
      <c r="AM164">
        <v>1.1555</v>
      </c>
    </row>
    <row r="165" spans="1:39" x14ac:dyDescent="0.3">
      <c r="A165" t="s">
        <v>213</v>
      </c>
      <c r="B165">
        <v>9046.6648280000009</v>
      </c>
      <c r="C165">
        <v>3.4825000000000002E-2</v>
      </c>
      <c r="D165">
        <v>0</v>
      </c>
      <c r="E165">
        <v>129049.6648</v>
      </c>
      <c r="F165">
        <v>9046.6647059999996</v>
      </c>
      <c r="G165">
        <v>120003</v>
      </c>
      <c r="H165">
        <v>9046.6648280000009</v>
      </c>
      <c r="I165">
        <v>245.86090100000001</v>
      </c>
      <c r="K165">
        <v>1</v>
      </c>
      <c r="M165">
        <v>100000</v>
      </c>
      <c r="N165">
        <v>129049.6648</v>
      </c>
      <c r="O165">
        <v>1</v>
      </c>
      <c r="Q165">
        <v>1</v>
      </c>
      <c r="R165">
        <v>1</v>
      </c>
      <c r="S165">
        <v>0</v>
      </c>
      <c r="T165">
        <v>0</v>
      </c>
      <c r="U165">
        <v>0</v>
      </c>
      <c r="V165">
        <v>-1</v>
      </c>
      <c r="W165">
        <v>1</v>
      </c>
      <c r="X165">
        <v>151.60057</v>
      </c>
      <c r="Z165">
        <v>94.225505999999996</v>
      </c>
      <c r="AB165">
        <v>1</v>
      </c>
      <c r="AC165">
        <v>3175</v>
      </c>
      <c r="AD165">
        <v>35</v>
      </c>
      <c r="AE165">
        <v>2045</v>
      </c>
      <c r="AF165">
        <v>18</v>
      </c>
      <c r="AG165">
        <v>3175</v>
      </c>
      <c r="AH165">
        <v>35</v>
      </c>
      <c r="AI165">
        <v>2045</v>
      </c>
      <c r="AJ165">
        <v>18</v>
      </c>
      <c r="AK165">
        <v>13.71</v>
      </c>
      <c r="AL165">
        <v>19</v>
      </c>
      <c r="AM165">
        <v>0.72157899999999997</v>
      </c>
    </row>
    <row r="166" spans="1:39" x14ac:dyDescent="0.3">
      <c r="A166" t="s">
        <v>214</v>
      </c>
      <c r="B166">
        <v>8873.3328039999997</v>
      </c>
      <c r="C166">
        <v>5.1837000000000001E-2</v>
      </c>
      <c r="D166">
        <v>0</v>
      </c>
      <c r="E166">
        <v>128876.3328</v>
      </c>
      <c r="F166">
        <v>8873.3328039999997</v>
      </c>
      <c r="G166">
        <v>120003</v>
      </c>
      <c r="H166">
        <v>8873.3328039999997</v>
      </c>
      <c r="I166">
        <v>352.12216599999999</v>
      </c>
      <c r="K166">
        <v>1</v>
      </c>
      <c r="M166">
        <v>100000</v>
      </c>
      <c r="N166">
        <v>128876.3328</v>
      </c>
      <c r="O166">
        <v>1</v>
      </c>
      <c r="Q166">
        <v>1</v>
      </c>
      <c r="R166">
        <v>1</v>
      </c>
      <c r="S166">
        <v>0</v>
      </c>
      <c r="T166">
        <v>0</v>
      </c>
      <c r="U166">
        <v>0</v>
      </c>
      <c r="V166">
        <v>-1</v>
      </c>
      <c r="W166">
        <v>1</v>
      </c>
      <c r="X166">
        <v>220.718602</v>
      </c>
      <c r="Z166">
        <v>131.35172700000001</v>
      </c>
      <c r="AB166">
        <v>1</v>
      </c>
      <c r="AC166">
        <v>1320</v>
      </c>
      <c r="AD166">
        <v>28</v>
      </c>
      <c r="AE166">
        <v>908</v>
      </c>
      <c r="AF166">
        <v>38</v>
      </c>
      <c r="AG166">
        <v>1320</v>
      </c>
      <c r="AH166">
        <v>28</v>
      </c>
      <c r="AI166">
        <v>908</v>
      </c>
      <c r="AJ166">
        <v>38</v>
      </c>
      <c r="AK166">
        <v>45.161999999999999</v>
      </c>
      <c r="AL166">
        <v>39</v>
      </c>
      <c r="AM166">
        <v>1.1579999999999999</v>
      </c>
    </row>
    <row r="167" spans="1:39" x14ac:dyDescent="0.3">
      <c r="A167" t="s">
        <v>215</v>
      </c>
      <c r="B167">
        <v>9793.3333459999994</v>
      </c>
      <c r="C167">
        <v>3.4584999999999998E-2</v>
      </c>
      <c r="D167">
        <v>0</v>
      </c>
      <c r="E167">
        <v>129795.3333</v>
      </c>
      <c r="F167">
        <v>9793.3333459999994</v>
      </c>
      <c r="G167">
        <v>120002</v>
      </c>
      <c r="H167">
        <v>9793.3333459999994</v>
      </c>
      <c r="I167">
        <v>599.70317599999998</v>
      </c>
      <c r="K167">
        <v>1</v>
      </c>
      <c r="M167">
        <v>100000</v>
      </c>
      <c r="N167">
        <v>129795.3333</v>
      </c>
      <c r="O167">
        <v>1</v>
      </c>
      <c r="Q167">
        <v>1</v>
      </c>
      <c r="R167">
        <v>1</v>
      </c>
      <c r="S167">
        <v>0</v>
      </c>
      <c r="T167">
        <v>0</v>
      </c>
      <c r="U167">
        <v>0</v>
      </c>
      <c r="V167">
        <v>-1</v>
      </c>
      <c r="W167">
        <v>1</v>
      </c>
      <c r="X167">
        <v>480.56677500000001</v>
      </c>
      <c r="Z167">
        <v>119.101816</v>
      </c>
      <c r="AB167">
        <v>1</v>
      </c>
      <c r="AC167">
        <v>9491</v>
      </c>
      <c r="AD167">
        <v>41</v>
      </c>
      <c r="AE167">
        <v>1614</v>
      </c>
      <c r="AF167">
        <v>17</v>
      </c>
      <c r="AG167">
        <v>9491</v>
      </c>
      <c r="AH167">
        <v>41</v>
      </c>
      <c r="AI167">
        <v>1614</v>
      </c>
      <c r="AJ167">
        <v>17</v>
      </c>
      <c r="AK167">
        <v>12.35</v>
      </c>
      <c r="AL167">
        <v>18</v>
      </c>
      <c r="AM167">
        <v>0.68611100000000003</v>
      </c>
    </row>
    <row r="168" spans="1:39" x14ac:dyDescent="0.3">
      <c r="A168" t="s">
        <v>216</v>
      </c>
      <c r="B168">
        <v>9800.0013290000006</v>
      </c>
      <c r="C168">
        <v>6.1789999999999998E-2</v>
      </c>
      <c r="D168">
        <v>0</v>
      </c>
      <c r="E168">
        <v>129803.0013</v>
      </c>
      <c r="F168">
        <v>9966.6681229999995</v>
      </c>
      <c r="G168">
        <v>120003</v>
      </c>
      <c r="H168">
        <v>9800.0013290000006</v>
      </c>
      <c r="I168">
        <v>432.25897899999995</v>
      </c>
      <c r="K168">
        <v>1</v>
      </c>
      <c r="M168">
        <v>100000</v>
      </c>
      <c r="N168">
        <v>129803.0013</v>
      </c>
      <c r="O168">
        <v>1</v>
      </c>
      <c r="Q168">
        <v>1</v>
      </c>
      <c r="R168">
        <v>1</v>
      </c>
      <c r="S168">
        <v>0</v>
      </c>
      <c r="T168">
        <v>0</v>
      </c>
      <c r="U168">
        <v>0</v>
      </c>
      <c r="V168">
        <v>-1</v>
      </c>
      <c r="W168">
        <v>1</v>
      </c>
      <c r="X168">
        <v>252.75581299999999</v>
      </c>
      <c r="Z168">
        <v>179.44137599999999</v>
      </c>
      <c r="AB168">
        <v>1</v>
      </c>
      <c r="AC168">
        <v>10556</v>
      </c>
      <c r="AD168">
        <v>28</v>
      </c>
      <c r="AE168">
        <v>354</v>
      </c>
      <c r="AF168">
        <v>5</v>
      </c>
      <c r="AG168">
        <v>10556</v>
      </c>
      <c r="AH168">
        <v>28</v>
      </c>
      <c r="AI168">
        <v>354</v>
      </c>
      <c r="AJ168">
        <v>5</v>
      </c>
      <c r="AK168">
        <v>6.8710000000000004</v>
      </c>
      <c r="AL168">
        <v>6</v>
      </c>
      <c r="AM168">
        <v>1.145167</v>
      </c>
    </row>
    <row r="169" spans="1:39" x14ac:dyDescent="0.3">
      <c r="A169" t="s">
        <v>220</v>
      </c>
      <c r="B169">
        <v>9159.9998410000007</v>
      </c>
      <c r="C169">
        <v>5.5671999999999999E-2</v>
      </c>
      <c r="D169">
        <v>0</v>
      </c>
      <c r="E169">
        <v>129160.99980000001</v>
      </c>
      <c r="F169">
        <v>9886.6667429999998</v>
      </c>
      <c r="G169">
        <v>120001</v>
      </c>
      <c r="H169">
        <v>9159.9998410000007</v>
      </c>
      <c r="I169">
        <v>534.64900399999999</v>
      </c>
      <c r="K169">
        <v>1</v>
      </c>
      <c r="M169">
        <v>100000</v>
      </c>
      <c r="N169">
        <v>129160.99980000001</v>
      </c>
      <c r="O169">
        <v>1</v>
      </c>
      <c r="Q169">
        <v>1</v>
      </c>
      <c r="R169">
        <v>1</v>
      </c>
      <c r="S169">
        <v>0</v>
      </c>
      <c r="T169">
        <v>0</v>
      </c>
      <c r="U169">
        <v>0</v>
      </c>
      <c r="V169">
        <v>-1</v>
      </c>
      <c r="W169">
        <v>1</v>
      </c>
      <c r="X169">
        <v>82.672973999999996</v>
      </c>
      <c r="Z169">
        <v>451.92035800000002</v>
      </c>
      <c r="AB169">
        <v>1</v>
      </c>
      <c r="AC169">
        <v>25568</v>
      </c>
      <c r="AD169">
        <v>43</v>
      </c>
      <c r="AE169">
        <v>895</v>
      </c>
      <c r="AF169">
        <v>0</v>
      </c>
      <c r="AG169">
        <v>25568</v>
      </c>
      <c r="AH169">
        <v>43</v>
      </c>
      <c r="AI169">
        <v>895</v>
      </c>
      <c r="AJ169">
        <v>0</v>
      </c>
      <c r="AK169">
        <v>1.17</v>
      </c>
      <c r="AL169">
        <v>1</v>
      </c>
      <c r="AM169">
        <v>1.17</v>
      </c>
    </row>
    <row r="170" spans="1:39" x14ac:dyDescent="0.3">
      <c r="A170" t="s">
        <v>221</v>
      </c>
      <c r="B170">
        <v>8666.6669550000006</v>
      </c>
      <c r="C170">
        <v>3.5360000000000003E-2</v>
      </c>
      <c r="D170">
        <v>0</v>
      </c>
      <c r="E170">
        <v>128667.667</v>
      </c>
      <c r="F170">
        <v>8666.6672980000003</v>
      </c>
      <c r="G170">
        <v>120001</v>
      </c>
      <c r="H170">
        <v>8666.6669550000006</v>
      </c>
      <c r="I170">
        <v>943.39302799999996</v>
      </c>
      <c r="K170">
        <v>1</v>
      </c>
      <c r="M170">
        <v>100000</v>
      </c>
      <c r="N170">
        <v>128667.667</v>
      </c>
      <c r="O170">
        <v>1</v>
      </c>
      <c r="Q170">
        <v>1</v>
      </c>
      <c r="R170">
        <v>1</v>
      </c>
      <c r="S170">
        <v>0</v>
      </c>
      <c r="T170">
        <v>0</v>
      </c>
      <c r="U170">
        <v>0</v>
      </c>
      <c r="V170">
        <v>-1</v>
      </c>
      <c r="W170">
        <v>1</v>
      </c>
      <c r="X170">
        <v>802.29246999999998</v>
      </c>
      <c r="Z170">
        <v>141.06519800000001</v>
      </c>
      <c r="AB170">
        <v>1</v>
      </c>
      <c r="AC170">
        <v>4854</v>
      </c>
      <c r="AD170">
        <v>54</v>
      </c>
      <c r="AE170">
        <v>3471</v>
      </c>
      <c r="AF170">
        <v>11</v>
      </c>
      <c r="AG170">
        <v>4854</v>
      </c>
      <c r="AH170">
        <v>54</v>
      </c>
      <c r="AI170">
        <v>3471</v>
      </c>
      <c r="AJ170">
        <v>11</v>
      </c>
      <c r="AK170">
        <v>10.009</v>
      </c>
      <c r="AL170">
        <v>12</v>
      </c>
      <c r="AM170">
        <v>0.83408300000000002</v>
      </c>
    </row>
    <row r="171" spans="1:39" x14ac:dyDescent="0.3">
      <c r="A171" t="s">
        <v>222</v>
      </c>
      <c r="B171">
        <v>8833.3335160000006</v>
      </c>
      <c r="C171">
        <v>4.1812000000000002E-2</v>
      </c>
      <c r="D171">
        <v>0</v>
      </c>
      <c r="E171">
        <v>128834.33349999999</v>
      </c>
      <c r="F171">
        <v>10150.000040000001</v>
      </c>
      <c r="G171">
        <v>120001</v>
      </c>
      <c r="H171">
        <v>8833.3335160000006</v>
      </c>
      <c r="I171">
        <v>882.75777900000003</v>
      </c>
      <c r="K171">
        <v>1</v>
      </c>
      <c r="M171">
        <v>100000</v>
      </c>
      <c r="N171">
        <v>128834.33349999999</v>
      </c>
      <c r="O171">
        <v>1</v>
      </c>
      <c r="Q171">
        <v>1</v>
      </c>
      <c r="R171">
        <v>1</v>
      </c>
      <c r="S171">
        <v>0</v>
      </c>
      <c r="T171">
        <v>0</v>
      </c>
      <c r="U171">
        <v>0</v>
      </c>
      <c r="V171">
        <v>-1</v>
      </c>
      <c r="W171">
        <v>1</v>
      </c>
      <c r="X171">
        <v>691.77437399999997</v>
      </c>
      <c r="Z171">
        <v>190.94159300000001</v>
      </c>
      <c r="AB171">
        <v>1</v>
      </c>
      <c r="AC171">
        <v>1951</v>
      </c>
      <c r="AD171">
        <v>27</v>
      </c>
      <c r="AE171">
        <v>1118</v>
      </c>
      <c r="AF171">
        <v>36</v>
      </c>
      <c r="AG171">
        <v>1951</v>
      </c>
      <c r="AH171">
        <v>27</v>
      </c>
      <c r="AI171">
        <v>1118</v>
      </c>
      <c r="AJ171">
        <v>36</v>
      </c>
      <c r="AK171">
        <v>43.927</v>
      </c>
      <c r="AL171">
        <v>37</v>
      </c>
      <c r="AM171">
        <v>1.187216</v>
      </c>
    </row>
    <row r="172" spans="1:39" x14ac:dyDescent="0.3">
      <c r="A172" t="s">
        <v>223</v>
      </c>
      <c r="B172">
        <v>9226.6654099999996</v>
      </c>
      <c r="C172">
        <v>5.3400000000000003E-2</v>
      </c>
      <c r="D172">
        <v>0</v>
      </c>
      <c r="E172">
        <v>129228.6654</v>
      </c>
      <c r="F172">
        <v>9226.6654099999996</v>
      </c>
      <c r="G172">
        <v>120002</v>
      </c>
      <c r="H172">
        <v>9226.6654099999996</v>
      </c>
      <c r="I172">
        <v>799.10949200000005</v>
      </c>
      <c r="K172">
        <v>1</v>
      </c>
      <c r="M172">
        <v>100000</v>
      </c>
      <c r="N172">
        <v>129228.6654</v>
      </c>
      <c r="O172">
        <v>1</v>
      </c>
      <c r="Q172">
        <v>1</v>
      </c>
      <c r="R172">
        <v>1</v>
      </c>
      <c r="S172">
        <v>0</v>
      </c>
      <c r="T172">
        <v>0</v>
      </c>
      <c r="U172">
        <v>0</v>
      </c>
      <c r="V172">
        <v>-1</v>
      </c>
      <c r="W172">
        <v>1</v>
      </c>
      <c r="X172">
        <v>541.24864700000001</v>
      </c>
      <c r="Z172">
        <v>257.80744499999997</v>
      </c>
      <c r="AB172">
        <v>1</v>
      </c>
      <c r="AC172">
        <v>8836</v>
      </c>
      <c r="AD172">
        <v>44</v>
      </c>
      <c r="AE172">
        <v>2401</v>
      </c>
      <c r="AF172">
        <v>31</v>
      </c>
      <c r="AG172">
        <v>8836</v>
      </c>
      <c r="AH172">
        <v>44</v>
      </c>
      <c r="AI172">
        <v>2401</v>
      </c>
      <c r="AJ172">
        <v>31</v>
      </c>
      <c r="AK172">
        <v>39.539000000000001</v>
      </c>
      <c r="AL172">
        <v>32</v>
      </c>
      <c r="AM172">
        <v>1.2355940000000001</v>
      </c>
    </row>
    <row r="173" spans="1:39" x14ac:dyDescent="0.3">
      <c r="A173" t="s">
        <v>225</v>
      </c>
      <c r="B173">
        <v>8806.6660109999993</v>
      </c>
      <c r="C173">
        <v>5.1255000000000002E-2</v>
      </c>
      <c r="D173">
        <v>0</v>
      </c>
      <c r="E173">
        <v>128808.666</v>
      </c>
      <c r="F173">
        <v>8806.6660109999993</v>
      </c>
      <c r="G173">
        <v>120002</v>
      </c>
      <c r="H173">
        <v>8806.6660109999993</v>
      </c>
      <c r="I173">
        <v>704.99299899999994</v>
      </c>
      <c r="K173">
        <v>1</v>
      </c>
      <c r="M173">
        <v>100000</v>
      </c>
      <c r="N173">
        <v>128808.666</v>
      </c>
      <c r="O173">
        <v>1</v>
      </c>
      <c r="Q173">
        <v>1</v>
      </c>
      <c r="R173">
        <v>1</v>
      </c>
      <c r="S173">
        <v>0</v>
      </c>
      <c r="T173">
        <v>0</v>
      </c>
      <c r="U173">
        <v>0</v>
      </c>
      <c r="V173">
        <v>-1</v>
      </c>
      <c r="W173">
        <v>1</v>
      </c>
      <c r="X173">
        <v>568.518373</v>
      </c>
      <c r="Z173">
        <v>136.423371</v>
      </c>
      <c r="AB173">
        <v>1</v>
      </c>
      <c r="AC173">
        <v>8111</v>
      </c>
      <c r="AD173">
        <v>26</v>
      </c>
      <c r="AE173">
        <v>114</v>
      </c>
      <c r="AF173">
        <v>0</v>
      </c>
      <c r="AG173">
        <v>8111</v>
      </c>
      <c r="AH173">
        <v>26</v>
      </c>
      <c r="AI173">
        <v>114</v>
      </c>
      <c r="AJ173">
        <v>0</v>
      </c>
      <c r="AK173">
        <v>1.1839999999999999</v>
      </c>
      <c r="AL173">
        <v>1</v>
      </c>
      <c r="AM173">
        <v>1.1839999999999999</v>
      </c>
    </row>
    <row r="174" spans="1:39" s="4" customFormat="1" x14ac:dyDescent="0.3">
      <c r="A174" s="4" t="s">
        <v>226</v>
      </c>
      <c r="B174" s="4">
        <v>8840.0000689999997</v>
      </c>
      <c r="C174" s="4">
        <v>4.9610000000000001E-2</v>
      </c>
      <c r="D174" s="4">
        <v>0</v>
      </c>
      <c r="E174" s="4">
        <v>128842.0001</v>
      </c>
      <c r="F174" s="4">
        <v>8840.0000689999997</v>
      </c>
      <c r="G174" s="4">
        <v>120002</v>
      </c>
      <c r="H174" s="4">
        <v>8840.0000689999997</v>
      </c>
      <c r="I174" s="4">
        <v>817.68824100000006</v>
      </c>
      <c r="K174" s="4">
        <v>1</v>
      </c>
      <c r="M174" s="4">
        <v>100000</v>
      </c>
      <c r="N174" s="4">
        <v>128842.0001</v>
      </c>
      <c r="O174" s="4">
        <v>1</v>
      </c>
      <c r="Q174" s="4">
        <v>1</v>
      </c>
      <c r="R174" s="4">
        <v>1</v>
      </c>
      <c r="S174" s="4">
        <v>0</v>
      </c>
      <c r="T174" s="4">
        <v>0</v>
      </c>
      <c r="U174" s="4">
        <v>0</v>
      </c>
      <c r="V174" s="4">
        <v>-1</v>
      </c>
      <c r="W174" s="4">
        <v>1</v>
      </c>
      <c r="X174" s="4">
        <v>173.206986</v>
      </c>
      <c r="Z174" s="4">
        <v>644.431645</v>
      </c>
      <c r="AB174" s="4">
        <v>1</v>
      </c>
      <c r="AC174" s="4">
        <v>9903</v>
      </c>
      <c r="AD174" s="4">
        <v>56</v>
      </c>
      <c r="AE174" s="4">
        <v>9071</v>
      </c>
      <c r="AF174" s="4">
        <v>181</v>
      </c>
      <c r="AG174" s="4">
        <v>9903</v>
      </c>
      <c r="AH174" s="4">
        <v>56</v>
      </c>
      <c r="AI174" s="4">
        <v>9071</v>
      </c>
      <c r="AJ174" s="4">
        <v>181</v>
      </c>
      <c r="AK174" s="4">
        <v>212.16800000000001</v>
      </c>
      <c r="AL174" s="4">
        <v>186</v>
      </c>
      <c r="AM174" s="4">
        <v>1.1406879999999999</v>
      </c>
    </row>
    <row r="175" spans="1:39" x14ac:dyDescent="0.3">
      <c r="A175" t="s">
        <v>234</v>
      </c>
      <c r="B175">
        <v>8806.6660109999993</v>
      </c>
      <c r="C175">
        <v>4.9432999999999998E-2</v>
      </c>
      <c r="D175">
        <v>0</v>
      </c>
      <c r="E175">
        <v>128809.666</v>
      </c>
      <c r="F175">
        <v>-1</v>
      </c>
      <c r="G175">
        <v>120003</v>
      </c>
      <c r="H175">
        <v>8806.6660109999993</v>
      </c>
      <c r="I175">
        <v>3601.413857</v>
      </c>
      <c r="K175">
        <v>1</v>
      </c>
      <c r="M175">
        <v>100000</v>
      </c>
      <c r="N175">
        <v>128809.666</v>
      </c>
      <c r="O175">
        <v>-1</v>
      </c>
      <c r="Q175">
        <v>1</v>
      </c>
      <c r="R175">
        <v>-1</v>
      </c>
      <c r="S175">
        <v>-1</v>
      </c>
      <c r="T175">
        <v>0</v>
      </c>
      <c r="U175">
        <v>-1</v>
      </c>
      <c r="V175">
        <v>-1</v>
      </c>
      <c r="W175">
        <v>0</v>
      </c>
      <c r="X175">
        <v>292.33943900000003</v>
      </c>
      <c r="Z175">
        <v>3309.024985</v>
      </c>
      <c r="AB175">
        <v>1</v>
      </c>
      <c r="AC175">
        <v>80435</v>
      </c>
      <c r="AD175">
        <v>39</v>
      </c>
      <c r="AE175">
        <v>1313</v>
      </c>
      <c r="AF175">
        <v>0</v>
      </c>
      <c r="AG175">
        <v>80435</v>
      </c>
      <c r="AH175">
        <v>39</v>
      </c>
      <c r="AI175">
        <v>1313</v>
      </c>
      <c r="AJ175">
        <v>0</v>
      </c>
      <c r="AK175">
        <v>0</v>
      </c>
      <c r="AL175">
        <v>0</v>
      </c>
      <c r="AM175">
        <v>0</v>
      </c>
    </row>
    <row r="176" spans="1:39" x14ac:dyDescent="0.3">
      <c r="A176" t="s">
        <v>235</v>
      </c>
      <c r="B176">
        <v>9266.6668950000003</v>
      </c>
      <c r="C176">
        <v>4.897E-2</v>
      </c>
      <c r="D176">
        <v>0</v>
      </c>
      <c r="E176">
        <v>-1</v>
      </c>
      <c r="F176">
        <v>-1</v>
      </c>
      <c r="G176">
        <v>-1</v>
      </c>
      <c r="H176">
        <v>0</v>
      </c>
      <c r="I176">
        <v>3600.0344219999997</v>
      </c>
      <c r="K176">
        <v>1</v>
      </c>
      <c r="M176">
        <v>100000</v>
      </c>
      <c r="N176">
        <v>1E-3</v>
      </c>
      <c r="O176">
        <v>-1</v>
      </c>
      <c r="Q176">
        <v>-1</v>
      </c>
      <c r="R176">
        <v>-1</v>
      </c>
      <c r="S176">
        <v>-1</v>
      </c>
      <c r="T176">
        <v>5.2035999999999999E-2</v>
      </c>
      <c r="U176">
        <v>-1</v>
      </c>
      <c r="V176">
        <v>-1</v>
      </c>
      <c r="W176">
        <v>0</v>
      </c>
      <c r="X176">
        <v>3599.9854519999999</v>
      </c>
      <c r="Z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</row>
    <row r="177" spans="1:39" x14ac:dyDescent="0.3">
      <c r="A177" t="s">
        <v>236</v>
      </c>
      <c r="B177">
        <v>9360.0000080000009</v>
      </c>
      <c r="C177">
        <v>4.6982999999999997E-2</v>
      </c>
      <c r="D177">
        <v>0</v>
      </c>
      <c r="E177">
        <v>-1</v>
      </c>
      <c r="F177">
        <v>-1</v>
      </c>
      <c r="G177">
        <v>-1</v>
      </c>
      <c r="H177">
        <v>0</v>
      </c>
      <c r="I177">
        <v>3600.0557650000001</v>
      </c>
      <c r="K177">
        <v>1</v>
      </c>
      <c r="M177">
        <v>100000</v>
      </c>
      <c r="N177">
        <v>1E-3</v>
      </c>
      <c r="O177">
        <v>-1</v>
      </c>
      <c r="Q177">
        <v>-1</v>
      </c>
      <c r="R177">
        <v>-1</v>
      </c>
      <c r="S177">
        <v>-1</v>
      </c>
      <c r="T177">
        <v>7.3916999999999997E-2</v>
      </c>
      <c r="U177">
        <v>-1</v>
      </c>
      <c r="V177">
        <v>-1</v>
      </c>
      <c r="W177">
        <v>0</v>
      </c>
      <c r="X177">
        <v>3600.0087819999999</v>
      </c>
      <c r="Z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</row>
    <row r="178" spans="1:39" x14ac:dyDescent="0.3">
      <c r="A178" t="s">
        <v>238</v>
      </c>
      <c r="B178">
        <v>9599.9998720000003</v>
      </c>
      <c r="C178">
        <v>4.8573999999999999E-2</v>
      </c>
      <c r="D178">
        <v>0</v>
      </c>
      <c r="E178">
        <v>-1</v>
      </c>
      <c r="F178">
        <v>-1</v>
      </c>
      <c r="G178">
        <v>-1</v>
      </c>
      <c r="H178">
        <v>0</v>
      </c>
      <c r="I178">
        <v>3600.1221970000001</v>
      </c>
      <c r="K178">
        <v>1</v>
      </c>
      <c r="M178">
        <v>100000</v>
      </c>
      <c r="N178">
        <v>1E-3</v>
      </c>
      <c r="O178">
        <v>-1</v>
      </c>
      <c r="Q178">
        <v>-1</v>
      </c>
      <c r="R178">
        <v>-1</v>
      </c>
      <c r="S178">
        <v>-1</v>
      </c>
      <c r="T178">
        <v>7.7151999999999998E-2</v>
      </c>
      <c r="U178">
        <v>-1</v>
      </c>
      <c r="V178">
        <v>-1</v>
      </c>
      <c r="W178">
        <v>0</v>
      </c>
      <c r="X178">
        <v>3600.0736230000002</v>
      </c>
      <c r="Z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</row>
    <row r="179" spans="1:39" x14ac:dyDescent="0.3">
      <c r="A179" t="s">
        <v>239</v>
      </c>
      <c r="B179">
        <v>9179.9993429999995</v>
      </c>
      <c r="C179">
        <v>3.9189000000000002E-2</v>
      </c>
      <c r="D179">
        <v>0</v>
      </c>
      <c r="E179">
        <v>-1</v>
      </c>
      <c r="F179">
        <v>-1</v>
      </c>
      <c r="G179">
        <v>-1</v>
      </c>
      <c r="H179">
        <v>0</v>
      </c>
      <c r="I179">
        <v>3600.1011530000001</v>
      </c>
      <c r="K179">
        <v>1</v>
      </c>
      <c r="M179">
        <v>100000</v>
      </c>
      <c r="N179">
        <v>1E-3</v>
      </c>
      <c r="O179">
        <v>-1</v>
      </c>
      <c r="Q179">
        <v>-1</v>
      </c>
      <c r="R179">
        <v>-1</v>
      </c>
      <c r="S179">
        <v>-1</v>
      </c>
      <c r="T179">
        <v>0.10643</v>
      </c>
      <c r="U179">
        <v>-1</v>
      </c>
      <c r="V179">
        <v>-1</v>
      </c>
      <c r="W179">
        <v>0</v>
      </c>
      <c r="X179">
        <v>3600.061964</v>
      </c>
      <c r="Z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</row>
    <row r="180" spans="1:39" x14ac:dyDescent="0.3">
      <c r="A180" t="s">
        <v>240</v>
      </c>
      <c r="B180">
        <v>9286.6645929999995</v>
      </c>
      <c r="C180">
        <v>6.2258000000000001E-2</v>
      </c>
      <c r="D180">
        <v>0</v>
      </c>
      <c r="E180">
        <v>-1</v>
      </c>
      <c r="F180">
        <v>-1</v>
      </c>
      <c r="G180">
        <v>-1</v>
      </c>
      <c r="H180">
        <v>0</v>
      </c>
      <c r="I180">
        <v>3600.13121</v>
      </c>
      <c r="K180">
        <v>1</v>
      </c>
      <c r="M180">
        <v>100000</v>
      </c>
      <c r="N180">
        <v>1E-3</v>
      </c>
      <c r="O180">
        <v>-1</v>
      </c>
      <c r="Q180">
        <v>-1</v>
      </c>
      <c r="R180">
        <v>-1</v>
      </c>
      <c r="S180">
        <v>-1</v>
      </c>
      <c r="T180">
        <v>7.6092999999999994E-2</v>
      </c>
      <c r="U180">
        <v>-1</v>
      </c>
      <c r="V180">
        <v>-1</v>
      </c>
      <c r="W180">
        <v>0</v>
      </c>
      <c r="X180">
        <v>3600.0689520000001</v>
      </c>
      <c r="Z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</row>
    <row r="181" spans="1:39" s="1" customFormat="1" x14ac:dyDescent="0.3">
      <c r="A181" s="1" t="s">
        <v>242</v>
      </c>
      <c r="B181" s="1">
        <v>8840.0000689999997</v>
      </c>
      <c r="C181" s="1">
        <v>4.9199E-2</v>
      </c>
      <c r="D181" s="1">
        <v>0</v>
      </c>
      <c r="E181" s="1">
        <v>-1</v>
      </c>
      <c r="F181" s="1">
        <v>-1</v>
      </c>
      <c r="G181" s="1">
        <v>-1</v>
      </c>
      <c r="H181" s="1">
        <v>0</v>
      </c>
      <c r="I181" s="1">
        <v>3600.099909</v>
      </c>
      <c r="K181" s="1">
        <v>1</v>
      </c>
      <c r="M181" s="1">
        <v>100000</v>
      </c>
      <c r="N181" s="1">
        <v>1E-3</v>
      </c>
      <c r="O181" s="1">
        <v>-1</v>
      </c>
      <c r="Q181" s="1">
        <v>-1</v>
      </c>
      <c r="R181" s="1">
        <v>-1</v>
      </c>
      <c r="S181" s="1">
        <v>-1</v>
      </c>
      <c r="T181" s="1">
        <v>7.2025000000000006E-2</v>
      </c>
      <c r="U181" s="1">
        <v>-1</v>
      </c>
      <c r="V181" s="1">
        <v>-1</v>
      </c>
      <c r="W181" s="1">
        <v>0</v>
      </c>
      <c r="X181" s="1">
        <v>3600.05071</v>
      </c>
      <c r="Z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</row>
    <row r="182" spans="1:39" x14ac:dyDescent="0.3">
      <c r="A182" t="s">
        <v>135</v>
      </c>
      <c r="B182">
        <v>10834.28537</v>
      </c>
      <c r="C182">
        <v>6.5426999999999999E-2</v>
      </c>
      <c r="D182">
        <v>0</v>
      </c>
      <c r="E182">
        <v>80836.285369999998</v>
      </c>
      <c r="F182">
        <v>10834.28535</v>
      </c>
      <c r="G182">
        <v>70002</v>
      </c>
      <c r="H182">
        <v>10834.28537</v>
      </c>
      <c r="I182">
        <v>573.174308</v>
      </c>
      <c r="J182">
        <v>1270.3009928666668</v>
      </c>
      <c r="K182">
        <v>1</v>
      </c>
      <c r="L182">
        <f>AVERAGE(K182:K196)</f>
        <v>1.0666666666666667</v>
      </c>
      <c r="M182">
        <v>80836.285350000006</v>
      </c>
      <c r="N182">
        <v>80836.285369999998</v>
      </c>
      <c r="O182">
        <v>1</v>
      </c>
      <c r="P182">
        <v>15</v>
      </c>
      <c r="Q182">
        <v>1</v>
      </c>
      <c r="R182">
        <v>1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164.85712699999999</v>
      </c>
      <c r="Y182">
        <v>346.57504433333332</v>
      </c>
      <c r="Z182">
        <v>408.25175400000001</v>
      </c>
      <c r="AA182">
        <v>923.66652126666656</v>
      </c>
      <c r="AB182">
        <v>1</v>
      </c>
      <c r="AC182">
        <v>5015</v>
      </c>
      <c r="AD182">
        <v>76</v>
      </c>
      <c r="AE182">
        <v>6803</v>
      </c>
      <c r="AF182">
        <v>2</v>
      </c>
      <c r="AG182">
        <v>5015</v>
      </c>
      <c r="AH182">
        <v>76</v>
      </c>
      <c r="AI182">
        <v>6803</v>
      </c>
      <c r="AJ182">
        <v>2</v>
      </c>
      <c r="AK182">
        <v>6.2960000000000003</v>
      </c>
      <c r="AL182">
        <v>3</v>
      </c>
      <c r="AM182">
        <v>2.0986669999999998</v>
      </c>
    </row>
    <row r="183" spans="1:39" x14ac:dyDescent="0.3">
      <c r="A183" t="s">
        <v>137</v>
      </c>
      <c r="B183">
        <v>10755.713110000001</v>
      </c>
      <c r="C183">
        <v>4.1153000000000002E-2</v>
      </c>
      <c r="D183">
        <v>0</v>
      </c>
      <c r="E183">
        <v>80757.713109999997</v>
      </c>
      <c r="F183">
        <v>10755.713170000001</v>
      </c>
      <c r="G183">
        <v>70002</v>
      </c>
      <c r="H183">
        <v>10755.713110000001</v>
      </c>
      <c r="I183">
        <v>823.895216</v>
      </c>
      <c r="K183">
        <v>1</v>
      </c>
      <c r="M183">
        <v>80757.713170000003</v>
      </c>
      <c r="N183">
        <v>80757.713109999997</v>
      </c>
      <c r="O183">
        <v>1</v>
      </c>
      <c r="Q183">
        <v>1</v>
      </c>
      <c r="R183">
        <v>1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99.245114000000001</v>
      </c>
      <c r="Z183">
        <v>724.60894900000005</v>
      </c>
      <c r="AB183">
        <v>1</v>
      </c>
      <c r="AC183">
        <v>22271</v>
      </c>
      <c r="AD183">
        <v>67</v>
      </c>
      <c r="AE183">
        <v>10124</v>
      </c>
      <c r="AF183">
        <v>41</v>
      </c>
      <c r="AG183">
        <v>22271</v>
      </c>
      <c r="AH183">
        <v>67</v>
      </c>
      <c r="AI183">
        <v>10124</v>
      </c>
      <c r="AJ183">
        <v>41</v>
      </c>
      <c r="AK183">
        <v>52.058999999999997</v>
      </c>
      <c r="AL183">
        <v>42</v>
      </c>
      <c r="AM183">
        <v>1.2395</v>
      </c>
    </row>
    <row r="184" spans="1:39" x14ac:dyDescent="0.3">
      <c r="A184" t="s">
        <v>140</v>
      </c>
      <c r="B184">
        <v>11422.856879999999</v>
      </c>
      <c r="C184">
        <v>3.1428999999999999E-2</v>
      </c>
      <c r="D184">
        <v>0</v>
      </c>
      <c r="E184">
        <v>91423.856880000007</v>
      </c>
      <c r="F184">
        <v>11422.856879999999</v>
      </c>
      <c r="G184">
        <v>80001</v>
      </c>
      <c r="H184">
        <v>11422.856879999999</v>
      </c>
      <c r="I184">
        <v>917.28014900000005</v>
      </c>
      <c r="K184">
        <v>1</v>
      </c>
      <c r="M184">
        <v>91423.856880000007</v>
      </c>
      <c r="N184">
        <v>91423.856880000007</v>
      </c>
      <c r="O184">
        <v>1</v>
      </c>
      <c r="Q184">
        <v>1</v>
      </c>
      <c r="R184">
        <v>1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619.56541200000004</v>
      </c>
      <c r="Z184">
        <v>297.68330800000001</v>
      </c>
      <c r="AB184">
        <v>1</v>
      </c>
      <c r="AC184">
        <v>4472</v>
      </c>
      <c r="AD184">
        <v>71</v>
      </c>
      <c r="AE184">
        <v>4497</v>
      </c>
      <c r="AF184">
        <v>21</v>
      </c>
      <c r="AG184">
        <v>4472</v>
      </c>
      <c r="AH184">
        <v>71</v>
      </c>
      <c r="AI184">
        <v>4497</v>
      </c>
      <c r="AJ184">
        <v>21</v>
      </c>
      <c r="AK184">
        <v>28.56</v>
      </c>
      <c r="AL184">
        <v>23</v>
      </c>
      <c r="AM184">
        <v>1.2417389999999999</v>
      </c>
    </row>
    <row r="185" spans="1:39" x14ac:dyDescent="0.3">
      <c r="A185" t="s">
        <v>142</v>
      </c>
      <c r="B185">
        <v>10812.85823</v>
      </c>
      <c r="C185">
        <v>5.8723999999999998E-2</v>
      </c>
      <c r="D185">
        <v>0</v>
      </c>
      <c r="E185">
        <v>80814.858229999998</v>
      </c>
      <c r="F185">
        <v>10812.85815</v>
      </c>
      <c r="G185">
        <v>70002</v>
      </c>
      <c r="H185">
        <v>10812.85823</v>
      </c>
      <c r="I185">
        <v>1097.397522</v>
      </c>
      <c r="K185">
        <v>1</v>
      </c>
      <c r="M185">
        <v>80814.85815</v>
      </c>
      <c r="N185">
        <v>80814.858229999998</v>
      </c>
      <c r="O185">
        <v>1</v>
      </c>
      <c r="Q185">
        <v>1</v>
      </c>
      <c r="R185">
        <v>1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195.784809</v>
      </c>
      <c r="Z185">
        <v>901.553989</v>
      </c>
      <c r="AB185">
        <v>1</v>
      </c>
      <c r="AC185">
        <v>5362</v>
      </c>
      <c r="AD185">
        <v>70</v>
      </c>
      <c r="AE185">
        <v>15799</v>
      </c>
      <c r="AF185">
        <v>76</v>
      </c>
      <c r="AG185">
        <v>5362</v>
      </c>
      <c r="AH185">
        <v>70</v>
      </c>
      <c r="AI185">
        <v>15799</v>
      </c>
      <c r="AJ185">
        <v>76</v>
      </c>
      <c r="AK185">
        <v>171.767</v>
      </c>
      <c r="AL185">
        <v>84</v>
      </c>
      <c r="AM185">
        <v>2.044845</v>
      </c>
    </row>
    <row r="186" spans="1:39" x14ac:dyDescent="0.3">
      <c r="A186" t="s">
        <v>143</v>
      </c>
      <c r="B186">
        <v>10812.856610000001</v>
      </c>
      <c r="C186">
        <v>6.4502000000000004E-2</v>
      </c>
      <c r="D186">
        <v>0</v>
      </c>
      <c r="E186">
        <v>80816.856610000003</v>
      </c>
      <c r="F186">
        <v>10812.856599999999</v>
      </c>
      <c r="G186">
        <v>70004</v>
      </c>
      <c r="H186">
        <v>10812.856610000001</v>
      </c>
      <c r="I186">
        <v>1109.3052729999999</v>
      </c>
      <c r="K186">
        <v>1</v>
      </c>
      <c r="M186">
        <v>80816.856599999999</v>
      </c>
      <c r="N186">
        <v>80816.856610000003</v>
      </c>
      <c r="O186">
        <v>1</v>
      </c>
      <c r="Q186">
        <v>1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235.35490999999999</v>
      </c>
      <c r="Z186">
        <v>873.88586099999998</v>
      </c>
      <c r="AB186">
        <v>1</v>
      </c>
      <c r="AC186">
        <v>6783</v>
      </c>
      <c r="AD186">
        <v>60</v>
      </c>
      <c r="AE186">
        <v>19631</v>
      </c>
      <c r="AF186">
        <v>69</v>
      </c>
      <c r="AG186">
        <v>6783</v>
      </c>
      <c r="AH186">
        <v>60</v>
      </c>
      <c r="AI186">
        <v>19631</v>
      </c>
      <c r="AJ186">
        <v>69</v>
      </c>
      <c r="AK186">
        <v>144.249</v>
      </c>
      <c r="AL186">
        <v>70</v>
      </c>
      <c r="AM186">
        <v>2.0607000000000002</v>
      </c>
    </row>
    <row r="187" spans="1:39" x14ac:dyDescent="0.3">
      <c r="A187" t="s">
        <v>146</v>
      </c>
      <c r="B187">
        <v>10788.57303</v>
      </c>
      <c r="C187">
        <v>5.5993000000000001E-2</v>
      </c>
      <c r="D187">
        <v>0</v>
      </c>
      <c r="E187">
        <v>80789.57303</v>
      </c>
      <c r="F187">
        <v>10788.572990000001</v>
      </c>
      <c r="G187">
        <v>70001</v>
      </c>
      <c r="H187">
        <v>10788.57303</v>
      </c>
      <c r="I187">
        <v>862.05696499999999</v>
      </c>
      <c r="K187">
        <v>1</v>
      </c>
      <c r="M187">
        <v>80789.572990000001</v>
      </c>
      <c r="N187">
        <v>80789.57303</v>
      </c>
      <c r="O187">
        <v>1</v>
      </c>
      <c r="Q187">
        <v>1</v>
      </c>
      <c r="R187">
        <v>1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121.657263</v>
      </c>
      <c r="Z187">
        <v>740.34370899999999</v>
      </c>
      <c r="AB187">
        <v>1</v>
      </c>
      <c r="AC187">
        <v>4881</v>
      </c>
      <c r="AD187">
        <v>66</v>
      </c>
      <c r="AE187">
        <v>9369</v>
      </c>
      <c r="AF187">
        <v>51</v>
      </c>
      <c r="AG187">
        <v>4881</v>
      </c>
      <c r="AH187">
        <v>66</v>
      </c>
      <c r="AI187">
        <v>9369</v>
      </c>
      <c r="AJ187">
        <v>51</v>
      </c>
      <c r="AK187">
        <v>118.58</v>
      </c>
      <c r="AL187">
        <v>57</v>
      </c>
      <c r="AM187">
        <v>2.0803509999999998</v>
      </c>
    </row>
    <row r="188" spans="1:39" s="3" customFormat="1" x14ac:dyDescent="0.3">
      <c r="A188" s="3" t="s">
        <v>147</v>
      </c>
      <c r="B188" s="3">
        <v>10772.8603</v>
      </c>
      <c r="C188" s="3">
        <v>5.0256000000000002E-2</v>
      </c>
      <c r="D188" s="3">
        <v>0</v>
      </c>
      <c r="E188" s="3">
        <v>80774.8603</v>
      </c>
      <c r="F188" s="3">
        <v>10772.860280000001</v>
      </c>
      <c r="G188" s="3">
        <v>70002</v>
      </c>
      <c r="H188" s="3">
        <v>10772.8603</v>
      </c>
      <c r="I188" s="3">
        <v>644.42085099999997</v>
      </c>
      <c r="K188" s="3">
        <v>1</v>
      </c>
      <c r="M188" s="3">
        <v>80774.860279999994</v>
      </c>
      <c r="N188" s="3">
        <v>80774.8603</v>
      </c>
      <c r="O188" s="3">
        <v>1</v>
      </c>
      <c r="Q188" s="3">
        <v>1</v>
      </c>
      <c r="R188" s="3">
        <v>1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157.92940999999999</v>
      </c>
      <c r="Z188" s="3">
        <v>486.44118500000002</v>
      </c>
      <c r="AB188" s="3">
        <v>1</v>
      </c>
      <c r="AC188" s="3">
        <v>4388</v>
      </c>
      <c r="AD188" s="3">
        <v>76</v>
      </c>
      <c r="AE188" s="3">
        <v>6569</v>
      </c>
      <c r="AF188" s="3">
        <v>40</v>
      </c>
      <c r="AG188" s="3">
        <v>4388</v>
      </c>
      <c r="AH188" s="3">
        <v>76</v>
      </c>
      <c r="AI188" s="3">
        <v>6569</v>
      </c>
      <c r="AJ188" s="3">
        <v>40</v>
      </c>
      <c r="AK188" s="3">
        <v>67.962999999999994</v>
      </c>
      <c r="AL188" s="3">
        <v>45</v>
      </c>
      <c r="AM188" s="3">
        <v>1.510289</v>
      </c>
    </row>
    <row r="189" spans="1:39" s="3" customFormat="1" x14ac:dyDescent="0.3">
      <c r="A189" s="3" t="s">
        <v>172</v>
      </c>
      <c r="B189" s="3">
        <v>10742.855680000001</v>
      </c>
      <c r="C189" s="3">
        <v>6.3314999999999996E-2</v>
      </c>
      <c r="D189" s="3">
        <v>0</v>
      </c>
      <c r="E189" s="3">
        <v>90743.855679999993</v>
      </c>
      <c r="F189" s="3">
        <v>10742.855680000001</v>
      </c>
      <c r="G189" s="3">
        <v>80001</v>
      </c>
      <c r="H189" s="3">
        <v>10742.855680000001</v>
      </c>
      <c r="I189" s="3">
        <v>2225.6873559999999</v>
      </c>
      <c r="K189" s="3">
        <v>1</v>
      </c>
      <c r="M189" s="3">
        <v>90743.855679999993</v>
      </c>
      <c r="N189" s="3">
        <v>90743.855679999993</v>
      </c>
      <c r="O189" s="3">
        <v>1</v>
      </c>
      <c r="Q189" s="3">
        <v>1</v>
      </c>
      <c r="R189" s="3">
        <v>1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1812.337084</v>
      </c>
      <c r="Z189" s="3">
        <v>413.28695699999997</v>
      </c>
      <c r="AB189" s="3">
        <v>1</v>
      </c>
      <c r="AC189" s="3">
        <v>4113</v>
      </c>
      <c r="AD189" s="3">
        <v>31</v>
      </c>
      <c r="AE189" s="3">
        <v>730</v>
      </c>
      <c r="AF189" s="3">
        <v>130</v>
      </c>
      <c r="AG189" s="3">
        <v>4113</v>
      </c>
      <c r="AH189" s="3">
        <v>31</v>
      </c>
      <c r="AI189" s="3">
        <v>730</v>
      </c>
      <c r="AJ189" s="3">
        <v>130</v>
      </c>
      <c r="AK189" s="3">
        <v>269.39600000000002</v>
      </c>
      <c r="AL189" s="3">
        <v>131</v>
      </c>
      <c r="AM189" s="3">
        <v>2.0564580000000001</v>
      </c>
    </row>
    <row r="190" spans="1:39" s="3" customFormat="1" x14ac:dyDescent="0.3">
      <c r="A190" s="3" t="s">
        <v>148</v>
      </c>
      <c r="B190" s="3">
        <v>10828.573420000001</v>
      </c>
      <c r="C190" s="3">
        <v>5.1763999999999998E-2</v>
      </c>
      <c r="D190" s="3">
        <v>0</v>
      </c>
      <c r="E190" s="3">
        <v>80830.573420000001</v>
      </c>
      <c r="F190" s="3">
        <v>10828.573410000001</v>
      </c>
      <c r="G190" s="3">
        <v>70002</v>
      </c>
      <c r="H190" s="3">
        <v>10828.573420000001</v>
      </c>
      <c r="I190" s="3">
        <v>541.50414000000001</v>
      </c>
      <c r="K190" s="3">
        <v>1</v>
      </c>
      <c r="M190" s="3">
        <v>80830.573409999997</v>
      </c>
      <c r="N190" s="3">
        <v>80830.573420000001</v>
      </c>
      <c r="O190" s="3">
        <v>1</v>
      </c>
      <c r="Q190" s="3">
        <v>1</v>
      </c>
      <c r="R190" s="3">
        <v>1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113.486113</v>
      </c>
      <c r="Z190" s="3">
        <v>427.96626300000003</v>
      </c>
      <c r="AB190" s="3">
        <v>1</v>
      </c>
      <c r="AC190" s="3">
        <v>11309</v>
      </c>
      <c r="AD190" s="3">
        <v>70</v>
      </c>
      <c r="AE190" s="3">
        <v>4580</v>
      </c>
      <c r="AF190" s="3">
        <v>27</v>
      </c>
      <c r="AG190" s="3">
        <v>11309</v>
      </c>
      <c r="AH190" s="3">
        <v>70</v>
      </c>
      <c r="AI190" s="3">
        <v>4580</v>
      </c>
      <c r="AJ190" s="3">
        <v>27</v>
      </c>
      <c r="AK190" s="3">
        <v>41.951000000000001</v>
      </c>
      <c r="AL190" s="3">
        <v>28</v>
      </c>
      <c r="AM190" s="3">
        <v>1.4982500000000001</v>
      </c>
    </row>
    <row r="191" spans="1:39" s="3" customFormat="1" x14ac:dyDescent="0.3">
      <c r="A191" s="3" t="s">
        <v>149</v>
      </c>
      <c r="B191" s="3">
        <v>10781.428470000001</v>
      </c>
      <c r="C191" s="3">
        <v>6.4125000000000001E-2</v>
      </c>
      <c r="D191" s="3">
        <v>0</v>
      </c>
      <c r="E191" s="3">
        <v>80785.428469999999</v>
      </c>
      <c r="F191" s="3">
        <v>10781.42856</v>
      </c>
      <c r="G191" s="3">
        <v>70004</v>
      </c>
      <c r="H191" s="3">
        <v>10781.428470000001</v>
      </c>
      <c r="I191" s="3">
        <v>722.8068189999999</v>
      </c>
      <c r="K191" s="3">
        <v>1</v>
      </c>
      <c r="M191" s="3">
        <v>80785.42856</v>
      </c>
      <c r="N191" s="3">
        <v>80785.428469999999</v>
      </c>
      <c r="O191" s="3">
        <v>1</v>
      </c>
      <c r="Q191" s="3">
        <v>1</v>
      </c>
      <c r="R191" s="3">
        <v>1</v>
      </c>
      <c r="S191" s="3">
        <v>0</v>
      </c>
      <c r="T191" s="3">
        <v>0</v>
      </c>
      <c r="U191" s="3">
        <v>0</v>
      </c>
      <c r="V191" s="3">
        <v>0</v>
      </c>
      <c r="W191" s="3">
        <v>0</v>
      </c>
      <c r="X191" s="3">
        <v>223.782287</v>
      </c>
      <c r="Z191" s="3">
        <v>498.96040699999998</v>
      </c>
      <c r="AB191" s="3">
        <v>1</v>
      </c>
      <c r="AC191" s="3">
        <v>4325</v>
      </c>
      <c r="AD191" s="3">
        <v>64</v>
      </c>
      <c r="AE191" s="3">
        <v>4660</v>
      </c>
      <c r="AF191" s="3">
        <v>90</v>
      </c>
      <c r="AG191" s="3">
        <v>4325</v>
      </c>
      <c r="AH191" s="3">
        <v>64</v>
      </c>
      <c r="AI191" s="3">
        <v>4660</v>
      </c>
      <c r="AJ191" s="3">
        <v>90</v>
      </c>
      <c r="AK191" s="3">
        <v>185.99</v>
      </c>
      <c r="AL191" s="3">
        <v>91</v>
      </c>
      <c r="AM191" s="3">
        <v>2.0438459999999998</v>
      </c>
    </row>
    <row r="192" spans="1:39" x14ac:dyDescent="0.3">
      <c r="A192" t="s">
        <v>152</v>
      </c>
      <c r="B192">
        <v>10795.715039999999</v>
      </c>
      <c r="C192">
        <v>6.1383E-2</v>
      </c>
      <c r="D192">
        <v>0</v>
      </c>
      <c r="E192">
        <v>80797.715039999995</v>
      </c>
      <c r="F192">
        <v>10795.715169999999</v>
      </c>
      <c r="G192">
        <v>70002</v>
      </c>
      <c r="H192">
        <v>10795.715039999999</v>
      </c>
      <c r="I192">
        <v>2397.2748470000001</v>
      </c>
      <c r="K192">
        <v>1</v>
      </c>
      <c r="M192">
        <v>80797.715169999996</v>
      </c>
      <c r="N192">
        <v>80797.715039999995</v>
      </c>
      <c r="O192">
        <v>1</v>
      </c>
      <c r="Q192">
        <v>1</v>
      </c>
      <c r="R192">
        <v>1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178.13131799999999</v>
      </c>
      <c r="Z192">
        <v>2219.0821460000002</v>
      </c>
      <c r="AB192">
        <v>1</v>
      </c>
      <c r="AC192">
        <v>22303</v>
      </c>
      <c r="AD192">
        <v>74</v>
      </c>
      <c r="AE192">
        <v>13257</v>
      </c>
      <c r="AF192">
        <v>234</v>
      </c>
      <c r="AG192">
        <v>22303</v>
      </c>
      <c r="AH192">
        <v>74</v>
      </c>
      <c r="AI192">
        <v>13257</v>
      </c>
      <c r="AJ192">
        <v>234</v>
      </c>
      <c r="AK192">
        <v>497.75599999999997</v>
      </c>
      <c r="AL192">
        <v>239</v>
      </c>
      <c r="AM192">
        <v>2.0826609999999999</v>
      </c>
    </row>
    <row r="193" spans="1:39" x14ac:dyDescent="0.3">
      <c r="A193" t="s">
        <v>154</v>
      </c>
      <c r="B193">
        <v>10708.570820000001</v>
      </c>
      <c r="C193">
        <v>4.4155E-2</v>
      </c>
      <c r="D193">
        <v>0</v>
      </c>
      <c r="E193">
        <v>90709.570819999994</v>
      </c>
      <c r="F193">
        <v>10708.57127</v>
      </c>
      <c r="G193">
        <v>80001</v>
      </c>
      <c r="H193">
        <v>10708.570820000001</v>
      </c>
      <c r="I193">
        <v>919.07506500000011</v>
      </c>
      <c r="K193">
        <v>1</v>
      </c>
      <c r="M193">
        <v>90709.57127</v>
      </c>
      <c r="N193">
        <v>90709.570819999994</v>
      </c>
      <c r="O193">
        <v>1</v>
      </c>
      <c r="Q193">
        <v>1</v>
      </c>
      <c r="R193">
        <v>1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580.54339400000003</v>
      </c>
      <c r="Z193">
        <v>338.48751600000003</v>
      </c>
      <c r="AB193">
        <v>1</v>
      </c>
      <c r="AC193">
        <v>4506</v>
      </c>
      <c r="AD193">
        <v>67</v>
      </c>
      <c r="AE193">
        <v>5141</v>
      </c>
      <c r="AF193">
        <v>50</v>
      </c>
      <c r="AG193">
        <v>4506</v>
      </c>
      <c r="AH193">
        <v>67</v>
      </c>
      <c r="AI193">
        <v>5141</v>
      </c>
      <c r="AJ193">
        <v>50</v>
      </c>
      <c r="AK193">
        <v>104.208</v>
      </c>
      <c r="AL193">
        <v>51</v>
      </c>
      <c r="AM193">
        <v>2.0432939999999999</v>
      </c>
    </row>
    <row r="194" spans="1:39" x14ac:dyDescent="0.3">
      <c r="A194" t="s">
        <v>155</v>
      </c>
      <c r="B194">
        <v>10781.428470000001</v>
      </c>
      <c r="C194">
        <v>9.3498999999999999E-2</v>
      </c>
      <c r="D194">
        <v>0</v>
      </c>
      <c r="E194">
        <v>80785.428469999999</v>
      </c>
      <c r="F194">
        <v>10781.42836</v>
      </c>
      <c r="G194">
        <v>70004</v>
      </c>
      <c r="H194">
        <v>10781.428470000001</v>
      </c>
      <c r="I194">
        <v>1180.900658</v>
      </c>
      <c r="K194">
        <v>1</v>
      </c>
      <c r="M194">
        <v>80785.428360000005</v>
      </c>
      <c r="N194">
        <v>80785.428469999999</v>
      </c>
      <c r="O194">
        <v>1</v>
      </c>
      <c r="Q194">
        <v>1</v>
      </c>
      <c r="R194">
        <v>1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276.27036500000003</v>
      </c>
      <c r="Z194">
        <v>904.53679399999999</v>
      </c>
      <c r="AB194">
        <v>1</v>
      </c>
      <c r="AC194">
        <v>15012</v>
      </c>
      <c r="AD194">
        <v>65</v>
      </c>
      <c r="AE194">
        <v>5499</v>
      </c>
      <c r="AF194">
        <v>39</v>
      </c>
      <c r="AG194">
        <v>15012</v>
      </c>
      <c r="AH194">
        <v>65</v>
      </c>
      <c r="AI194">
        <v>5499</v>
      </c>
      <c r="AJ194">
        <v>39</v>
      </c>
      <c r="AK194">
        <v>83.772000000000006</v>
      </c>
      <c r="AL194">
        <v>40</v>
      </c>
      <c r="AM194">
        <v>2.0943000000000001</v>
      </c>
    </row>
    <row r="195" spans="1:39" x14ac:dyDescent="0.3">
      <c r="A195" t="s">
        <v>162</v>
      </c>
      <c r="B195">
        <v>10844.28679</v>
      </c>
      <c r="C195">
        <v>9.0241000000000002E-2</v>
      </c>
      <c r="D195">
        <v>0</v>
      </c>
      <c r="E195">
        <v>80845.286789999998</v>
      </c>
      <c r="F195">
        <v>10844.28679</v>
      </c>
      <c r="G195">
        <v>70001</v>
      </c>
      <c r="H195">
        <v>10844.28679</v>
      </c>
      <c r="I195">
        <v>1803.497562</v>
      </c>
      <c r="K195">
        <v>2</v>
      </c>
      <c r="M195">
        <v>80845.286789999998</v>
      </c>
      <c r="N195">
        <v>80845.286789999998</v>
      </c>
      <c r="O195">
        <v>1</v>
      </c>
      <c r="Q195">
        <v>1</v>
      </c>
      <c r="R195">
        <v>1</v>
      </c>
      <c r="S195">
        <v>0</v>
      </c>
      <c r="T195">
        <v>0</v>
      </c>
      <c r="U195">
        <v>0</v>
      </c>
      <c r="V195">
        <v>1</v>
      </c>
      <c r="W195">
        <v>0</v>
      </c>
      <c r="X195">
        <v>277.35134399999998</v>
      </c>
      <c r="Z195">
        <v>1526.055977</v>
      </c>
      <c r="AB195">
        <v>2</v>
      </c>
      <c r="AC195">
        <v>19388</v>
      </c>
      <c r="AD195">
        <v>93</v>
      </c>
      <c r="AE195">
        <v>10688</v>
      </c>
      <c r="AF195">
        <v>368</v>
      </c>
      <c r="AG195">
        <v>9694</v>
      </c>
      <c r="AH195">
        <v>46</v>
      </c>
      <c r="AI195">
        <v>5344</v>
      </c>
      <c r="AJ195">
        <v>184</v>
      </c>
      <c r="AK195">
        <v>771.81200000000001</v>
      </c>
      <c r="AL195">
        <v>373</v>
      </c>
      <c r="AM195">
        <v>2.0692010000000001</v>
      </c>
    </row>
    <row r="196" spans="1:39" s="4" customFormat="1" x14ac:dyDescent="0.3">
      <c r="A196" s="4" t="s">
        <v>164</v>
      </c>
      <c r="B196" s="4">
        <v>10817.143169999999</v>
      </c>
      <c r="C196" s="4">
        <v>5.5442999999999999E-2</v>
      </c>
      <c r="D196" s="4">
        <v>0</v>
      </c>
      <c r="E196" s="4">
        <v>80819.143169999996</v>
      </c>
      <c r="F196" s="4">
        <v>10817.14306</v>
      </c>
      <c r="G196" s="4">
        <v>70002</v>
      </c>
      <c r="H196" s="4">
        <v>10817.143169999999</v>
      </c>
      <c r="I196" s="4">
        <v>3236.2381620000001</v>
      </c>
      <c r="K196" s="4">
        <v>1</v>
      </c>
      <c r="M196" s="4">
        <v>80819.143060000002</v>
      </c>
      <c r="N196" s="4">
        <v>80819.143169999996</v>
      </c>
      <c r="O196" s="4">
        <v>1</v>
      </c>
      <c r="Q196" s="4">
        <v>1</v>
      </c>
      <c r="R196" s="4">
        <v>1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142.32971499999999</v>
      </c>
      <c r="Z196" s="4">
        <v>3093.8530040000001</v>
      </c>
      <c r="AB196" s="4">
        <v>1</v>
      </c>
      <c r="AC196" s="4">
        <v>56183</v>
      </c>
      <c r="AD196" s="4">
        <v>63</v>
      </c>
      <c r="AE196" s="4">
        <v>5691</v>
      </c>
      <c r="AF196" s="4">
        <v>282</v>
      </c>
      <c r="AG196" s="4">
        <v>56183</v>
      </c>
      <c r="AH196" s="4">
        <v>63</v>
      </c>
      <c r="AI196" s="4">
        <v>5691</v>
      </c>
      <c r="AJ196" s="4">
        <v>282</v>
      </c>
      <c r="AK196" s="4">
        <v>586.93600000000004</v>
      </c>
      <c r="AL196" s="4">
        <v>283</v>
      </c>
      <c r="AM196" s="4">
        <v>2.073979</v>
      </c>
    </row>
    <row r="197" spans="1:39" x14ac:dyDescent="0.3">
      <c r="A197" t="s">
        <v>168</v>
      </c>
      <c r="B197">
        <v>10708.570820000001</v>
      </c>
      <c r="C197">
        <v>5.0333000000000003E-2</v>
      </c>
      <c r="D197">
        <v>0</v>
      </c>
      <c r="E197">
        <v>-1</v>
      </c>
      <c r="F197">
        <v>-1</v>
      </c>
      <c r="G197">
        <v>-1</v>
      </c>
      <c r="H197">
        <v>0</v>
      </c>
      <c r="I197">
        <v>3600.1948380000003</v>
      </c>
      <c r="K197">
        <v>1</v>
      </c>
      <c r="M197">
        <v>100000</v>
      </c>
      <c r="N197">
        <v>1E-3</v>
      </c>
      <c r="O197">
        <v>-1</v>
      </c>
      <c r="Q197">
        <v>-1</v>
      </c>
      <c r="R197">
        <v>-1</v>
      </c>
      <c r="S197">
        <v>-1</v>
      </c>
      <c r="T197">
        <v>0.11024100000000001</v>
      </c>
      <c r="U197">
        <v>-1</v>
      </c>
      <c r="V197">
        <v>-1</v>
      </c>
      <c r="W197">
        <v>0</v>
      </c>
      <c r="X197">
        <v>3600.1445050000002</v>
      </c>
      <c r="Z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</row>
    <row r="198" spans="1:39" x14ac:dyDescent="0.3">
      <c r="A198" t="s">
        <v>187</v>
      </c>
      <c r="B198">
        <v>11450.000319999999</v>
      </c>
      <c r="C198">
        <v>3.1262999999999999E-2</v>
      </c>
      <c r="D198">
        <v>0</v>
      </c>
      <c r="E198">
        <v>-1</v>
      </c>
      <c r="F198">
        <v>-1</v>
      </c>
      <c r="G198">
        <v>-1</v>
      </c>
      <c r="H198">
        <v>0</v>
      </c>
      <c r="I198">
        <v>3600.088984</v>
      </c>
      <c r="K198">
        <v>1</v>
      </c>
      <c r="M198">
        <v>100000</v>
      </c>
      <c r="N198">
        <v>1E-3</v>
      </c>
      <c r="O198">
        <v>-1</v>
      </c>
      <c r="Q198">
        <v>-1</v>
      </c>
      <c r="R198">
        <v>-1</v>
      </c>
      <c r="S198">
        <v>-1</v>
      </c>
      <c r="T198">
        <v>0.109337</v>
      </c>
      <c r="U198">
        <v>-1</v>
      </c>
      <c r="V198">
        <v>-1</v>
      </c>
      <c r="W198">
        <v>0</v>
      </c>
      <c r="X198">
        <v>3600.0577210000001</v>
      </c>
      <c r="Z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</row>
    <row r="199" spans="1:39" x14ac:dyDescent="0.3">
      <c r="A199" t="s">
        <v>188</v>
      </c>
      <c r="B199">
        <v>10788.570739999999</v>
      </c>
      <c r="C199">
        <v>5.9331000000000002E-2</v>
      </c>
      <c r="D199">
        <v>0</v>
      </c>
      <c r="E199">
        <v>-1</v>
      </c>
      <c r="F199">
        <v>-1</v>
      </c>
      <c r="G199">
        <v>-1</v>
      </c>
      <c r="H199">
        <v>0</v>
      </c>
      <c r="I199">
        <v>3600.1585850000001</v>
      </c>
      <c r="K199">
        <v>1</v>
      </c>
      <c r="M199">
        <v>100000</v>
      </c>
      <c r="N199">
        <v>1E-3</v>
      </c>
      <c r="O199">
        <v>-1</v>
      </c>
      <c r="Q199">
        <v>-1</v>
      </c>
      <c r="R199">
        <v>-1</v>
      </c>
      <c r="S199">
        <v>-1</v>
      </c>
      <c r="T199">
        <v>0.11014500000000001</v>
      </c>
      <c r="U199">
        <v>-1</v>
      </c>
      <c r="V199">
        <v>-1</v>
      </c>
      <c r="W199">
        <v>0</v>
      </c>
      <c r="X199">
        <v>3600.0992540000002</v>
      </c>
      <c r="Z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</row>
    <row r="200" spans="1:39" x14ac:dyDescent="0.3">
      <c r="A200" t="s">
        <v>198</v>
      </c>
      <c r="B200">
        <v>10794.28622</v>
      </c>
      <c r="C200">
        <v>5.6054E-2</v>
      </c>
      <c r="D200">
        <v>0</v>
      </c>
      <c r="E200">
        <v>-1</v>
      </c>
      <c r="F200">
        <v>-1</v>
      </c>
      <c r="G200">
        <v>-1</v>
      </c>
      <c r="H200">
        <v>0</v>
      </c>
      <c r="I200">
        <v>3600.1218550000003</v>
      </c>
      <c r="K200">
        <v>1</v>
      </c>
      <c r="M200">
        <v>100000</v>
      </c>
      <c r="N200">
        <v>1E-3</v>
      </c>
      <c r="O200">
        <v>-1</v>
      </c>
      <c r="Q200">
        <v>-1</v>
      </c>
      <c r="R200">
        <v>-1</v>
      </c>
      <c r="S200">
        <v>-1</v>
      </c>
      <c r="T200">
        <v>0.110127</v>
      </c>
      <c r="U200">
        <v>-1</v>
      </c>
      <c r="V200">
        <v>-1</v>
      </c>
      <c r="W200">
        <v>0</v>
      </c>
      <c r="X200">
        <v>3600.0658010000002</v>
      </c>
      <c r="Z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</row>
    <row r="201" spans="1:39" x14ac:dyDescent="0.3">
      <c r="A201" t="s">
        <v>224</v>
      </c>
      <c r="B201">
        <v>10844.28679</v>
      </c>
      <c r="C201">
        <v>4.0702000000000002E-2</v>
      </c>
      <c r="D201">
        <v>0</v>
      </c>
      <c r="E201">
        <v>-1</v>
      </c>
      <c r="F201">
        <v>-1</v>
      </c>
      <c r="G201">
        <v>-1</v>
      </c>
      <c r="H201">
        <v>0</v>
      </c>
      <c r="I201">
        <v>3600.1361429999997</v>
      </c>
      <c r="K201">
        <v>1</v>
      </c>
      <c r="M201">
        <v>100000</v>
      </c>
      <c r="N201">
        <v>1E-3</v>
      </c>
      <c r="O201">
        <v>-1</v>
      </c>
      <c r="Q201">
        <v>-1</v>
      </c>
      <c r="R201">
        <v>-1</v>
      </c>
      <c r="S201">
        <v>-1</v>
      </c>
      <c r="T201">
        <v>0.11007699999999999</v>
      </c>
      <c r="U201">
        <v>-1</v>
      </c>
      <c r="V201">
        <v>-1</v>
      </c>
      <c r="W201">
        <v>0</v>
      </c>
      <c r="X201">
        <v>3600.0954409999999</v>
      </c>
      <c r="Z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</row>
    <row r="202" spans="1:39" x14ac:dyDescent="0.3">
      <c r="A202" t="s">
        <v>194</v>
      </c>
      <c r="B202">
        <v>10794.28528</v>
      </c>
      <c r="C202">
        <v>5.6263000000000001E-2</v>
      </c>
      <c r="D202">
        <v>0</v>
      </c>
      <c r="E202">
        <v>-1</v>
      </c>
      <c r="F202">
        <v>-1</v>
      </c>
      <c r="G202">
        <v>-1</v>
      </c>
      <c r="H202">
        <v>0</v>
      </c>
      <c r="I202">
        <v>3600.0653309999998</v>
      </c>
      <c r="K202">
        <v>1</v>
      </c>
      <c r="M202">
        <v>100000</v>
      </c>
      <c r="N202">
        <v>1E-3</v>
      </c>
      <c r="O202">
        <v>-1</v>
      </c>
      <c r="Q202">
        <v>-1</v>
      </c>
      <c r="R202">
        <v>-1</v>
      </c>
      <c r="S202">
        <v>-1</v>
      </c>
      <c r="T202">
        <v>0.110127</v>
      </c>
      <c r="U202">
        <v>-1</v>
      </c>
      <c r="V202">
        <v>-1</v>
      </c>
      <c r="W202">
        <v>0</v>
      </c>
      <c r="X202">
        <v>3600.0090679999998</v>
      </c>
      <c r="Z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</row>
    <row r="203" spans="1:39" x14ac:dyDescent="0.3">
      <c r="A203" t="s">
        <v>217</v>
      </c>
      <c r="B203">
        <v>11409.99775</v>
      </c>
      <c r="C203">
        <v>5.4968000000000003E-2</v>
      </c>
      <c r="D203">
        <v>0</v>
      </c>
      <c r="E203">
        <v>-1</v>
      </c>
      <c r="F203">
        <v>-1</v>
      </c>
      <c r="G203">
        <v>-1</v>
      </c>
      <c r="H203">
        <v>0</v>
      </c>
      <c r="I203">
        <v>3600.0816500000001</v>
      </c>
      <c r="K203">
        <v>1</v>
      </c>
      <c r="M203">
        <v>100000</v>
      </c>
      <c r="N203">
        <v>1E-3</v>
      </c>
      <c r="O203">
        <v>-1</v>
      </c>
      <c r="Q203">
        <v>-1</v>
      </c>
      <c r="R203">
        <v>-1</v>
      </c>
      <c r="S203">
        <v>-1</v>
      </c>
      <c r="T203">
        <v>7.2933999999999999E-2</v>
      </c>
      <c r="U203">
        <v>-1</v>
      </c>
      <c r="V203">
        <v>-1</v>
      </c>
      <c r="W203">
        <v>0</v>
      </c>
      <c r="X203">
        <v>3600.0266820000002</v>
      </c>
      <c r="Z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</row>
    <row r="204" spans="1:39" x14ac:dyDescent="0.3">
      <c r="A204" t="s">
        <v>218</v>
      </c>
      <c r="B204">
        <v>10782.858319999999</v>
      </c>
      <c r="C204">
        <v>8.09E-2</v>
      </c>
      <c r="D204">
        <v>0</v>
      </c>
      <c r="E204">
        <v>80783.858319999999</v>
      </c>
      <c r="F204">
        <v>-1</v>
      </c>
      <c r="G204">
        <v>70001</v>
      </c>
      <c r="H204">
        <v>10782.858319999999</v>
      </c>
      <c r="I204">
        <v>3600.6790209999999</v>
      </c>
      <c r="K204">
        <v>1</v>
      </c>
      <c r="M204">
        <v>100000</v>
      </c>
      <c r="N204">
        <v>80783.858319999999</v>
      </c>
      <c r="O204">
        <v>-1</v>
      </c>
      <c r="Q204">
        <v>1</v>
      </c>
      <c r="R204">
        <v>-1</v>
      </c>
      <c r="S204">
        <v>-1</v>
      </c>
      <c r="T204">
        <v>0</v>
      </c>
      <c r="U204">
        <v>-1</v>
      </c>
      <c r="V204">
        <v>-1</v>
      </c>
      <c r="W204">
        <v>0</v>
      </c>
      <c r="X204">
        <v>72.377848999999998</v>
      </c>
      <c r="Z204">
        <v>3528.220272</v>
      </c>
      <c r="AB204">
        <v>1</v>
      </c>
      <c r="AC204">
        <v>43452</v>
      </c>
      <c r="AD204">
        <v>71</v>
      </c>
      <c r="AE204">
        <v>8957</v>
      </c>
      <c r="AF204">
        <v>17</v>
      </c>
      <c r="AG204">
        <v>43452</v>
      </c>
      <c r="AH204">
        <v>71</v>
      </c>
      <c r="AI204">
        <v>8957</v>
      </c>
      <c r="AJ204">
        <v>17</v>
      </c>
      <c r="AK204">
        <v>35.271999999999998</v>
      </c>
      <c r="AL204">
        <v>17</v>
      </c>
      <c r="AM204">
        <v>2.074824</v>
      </c>
    </row>
    <row r="205" spans="1:39" x14ac:dyDescent="0.3">
      <c r="A205" t="s">
        <v>219</v>
      </c>
      <c r="B205">
        <v>10674.28378</v>
      </c>
      <c r="C205">
        <v>0.123654</v>
      </c>
      <c r="D205">
        <v>0</v>
      </c>
      <c r="E205">
        <v>80676.283779999998</v>
      </c>
      <c r="F205">
        <v>-1</v>
      </c>
      <c r="G205">
        <v>70002</v>
      </c>
      <c r="H205">
        <v>10674.28378</v>
      </c>
      <c r="I205">
        <v>3601.2580879999996</v>
      </c>
      <c r="K205">
        <v>1</v>
      </c>
      <c r="M205">
        <v>100000</v>
      </c>
      <c r="N205">
        <v>80676.283779999998</v>
      </c>
      <c r="O205">
        <v>-1</v>
      </c>
      <c r="Q205">
        <v>1</v>
      </c>
      <c r="R205">
        <v>-1</v>
      </c>
      <c r="S205">
        <v>-1</v>
      </c>
      <c r="T205">
        <v>0</v>
      </c>
      <c r="U205">
        <v>-1</v>
      </c>
      <c r="V205">
        <v>-1</v>
      </c>
      <c r="W205">
        <v>0</v>
      </c>
      <c r="X205">
        <v>175.78160399999999</v>
      </c>
      <c r="Z205">
        <v>3425.3528299999998</v>
      </c>
      <c r="AB205">
        <v>1</v>
      </c>
      <c r="AC205">
        <v>51681</v>
      </c>
      <c r="AD205">
        <v>84</v>
      </c>
      <c r="AE205">
        <v>27175</v>
      </c>
      <c r="AF205">
        <v>131</v>
      </c>
      <c r="AG205">
        <v>51681</v>
      </c>
      <c r="AH205">
        <v>84</v>
      </c>
      <c r="AI205">
        <v>27175</v>
      </c>
      <c r="AJ205">
        <v>131</v>
      </c>
      <c r="AK205">
        <v>282.625</v>
      </c>
      <c r="AL205">
        <v>134</v>
      </c>
      <c r="AM205">
        <v>2.1091419999999999</v>
      </c>
    </row>
    <row r="206" spans="1:39" x14ac:dyDescent="0.3">
      <c r="A206" t="s">
        <v>189</v>
      </c>
      <c r="B206">
        <v>10777.14323</v>
      </c>
      <c r="C206">
        <v>5.7493000000000002E-2</v>
      </c>
      <c r="D206">
        <v>0</v>
      </c>
      <c r="E206">
        <v>80778.143230000001</v>
      </c>
      <c r="F206">
        <v>-1</v>
      </c>
      <c r="G206">
        <v>70001</v>
      </c>
      <c r="H206">
        <v>10777.14323</v>
      </c>
      <c r="I206">
        <v>3601.789221</v>
      </c>
      <c r="K206">
        <v>1</v>
      </c>
      <c r="M206">
        <v>100000</v>
      </c>
      <c r="N206">
        <v>80778.143230000001</v>
      </c>
      <c r="O206">
        <v>-1</v>
      </c>
      <c r="Q206">
        <v>1</v>
      </c>
      <c r="R206">
        <v>-1</v>
      </c>
      <c r="S206">
        <v>-1</v>
      </c>
      <c r="T206">
        <v>0</v>
      </c>
      <c r="U206">
        <v>-1</v>
      </c>
      <c r="V206">
        <v>-1</v>
      </c>
      <c r="W206">
        <v>0</v>
      </c>
      <c r="X206">
        <v>142.078892</v>
      </c>
      <c r="Z206">
        <v>3459.6528360000002</v>
      </c>
      <c r="AB206">
        <v>1</v>
      </c>
      <c r="AC206">
        <v>88756</v>
      </c>
      <c r="AD206">
        <v>41</v>
      </c>
      <c r="AE206">
        <v>418</v>
      </c>
      <c r="AF206">
        <v>0</v>
      </c>
      <c r="AG206">
        <v>88756</v>
      </c>
      <c r="AH206">
        <v>41</v>
      </c>
      <c r="AI206">
        <v>418</v>
      </c>
      <c r="AJ206">
        <v>0</v>
      </c>
      <c r="AK206">
        <v>0</v>
      </c>
      <c r="AL206">
        <v>0</v>
      </c>
      <c r="AM206">
        <v>0</v>
      </c>
    </row>
    <row r="207" spans="1:39" x14ac:dyDescent="0.3">
      <c r="A207" t="s">
        <v>190</v>
      </c>
      <c r="B207">
        <v>10662.855100000001</v>
      </c>
      <c r="C207">
        <v>3.1921999999999999E-2</v>
      </c>
      <c r="D207">
        <v>0</v>
      </c>
      <c r="E207">
        <v>80664.855100000001</v>
      </c>
      <c r="F207">
        <v>-1</v>
      </c>
      <c r="G207">
        <v>70002</v>
      </c>
      <c r="H207">
        <v>10662.855100000001</v>
      </c>
      <c r="I207">
        <v>3600.1605060000002</v>
      </c>
      <c r="K207">
        <v>1</v>
      </c>
      <c r="M207">
        <v>100000</v>
      </c>
      <c r="N207">
        <v>80664.855100000001</v>
      </c>
      <c r="O207">
        <v>-1</v>
      </c>
      <c r="Q207">
        <v>1</v>
      </c>
      <c r="R207">
        <v>-1</v>
      </c>
      <c r="S207">
        <v>-1</v>
      </c>
      <c r="T207">
        <v>0</v>
      </c>
      <c r="U207">
        <v>-1</v>
      </c>
      <c r="V207">
        <v>-1</v>
      </c>
      <c r="W207">
        <v>0</v>
      </c>
      <c r="X207">
        <v>216.75358399999999</v>
      </c>
      <c r="Z207">
        <v>3383.375</v>
      </c>
      <c r="AB207">
        <v>1</v>
      </c>
      <c r="AC207">
        <v>21051</v>
      </c>
      <c r="AD207">
        <v>63</v>
      </c>
      <c r="AE207">
        <v>8153</v>
      </c>
      <c r="AF207">
        <v>120</v>
      </c>
      <c r="AG207">
        <v>21051</v>
      </c>
      <c r="AH207">
        <v>63</v>
      </c>
      <c r="AI207">
        <v>8153</v>
      </c>
      <c r="AJ207">
        <v>120</v>
      </c>
      <c r="AK207">
        <v>209.30600000000001</v>
      </c>
      <c r="AL207">
        <v>169</v>
      </c>
      <c r="AM207">
        <v>1.238497</v>
      </c>
    </row>
    <row r="208" spans="1:39" x14ac:dyDescent="0.3">
      <c r="A208" t="s">
        <v>191</v>
      </c>
      <c r="B208">
        <v>11285.71544</v>
      </c>
      <c r="C208">
        <v>5.5518999999999999E-2</v>
      </c>
      <c r="D208">
        <v>0</v>
      </c>
      <c r="E208">
        <v>81288.71544</v>
      </c>
      <c r="F208">
        <v>-1</v>
      </c>
      <c r="G208">
        <v>70003</v>
      </c>
      <c r="H208">
        <v>11285.71544</v>
      </c>
      <c r="I208">
        <v>3601.0404779999999</v>
      </c>
      <c r="K208">
        <v>1</v>
      </c>
      <c r="M208">
        <v>100000</v>
      </c>
      <c r="N208">
        <v>81288.71544</v>
      </c>
      <c r="O208">
        <v>-1</v>
      </c>
      <c r="Q208">
        <v>1</v>
      </c>
      <c r="R208">
        <v>-1</v>
      </c>
      <c r="S208">
        <v>-1</v>
      </c>
      <c r="T208">
        <v>0</v>
      </c>
      <c r="U208">
        <v>-1</v>
      </c>
      <c r="V208">
        <v>-1</v>
      </c>
      <c r="W208">
        <v>0</v>
      </c>
      <c r="X208">
        <v>141.821789</v>
      </c>
      <c r="Z208">
        <v>3459.1631699999998</v>
      </c>
      <c r="AB208">
        <v>1</v>
      </c>
      <c r="AC208">
        <v>73486</v>
      </c>
      <c r="AD208">
        <v>57</v>
      </c>
      <c r="AE208">
        <v>7271</v>
      </c>
      <c r="AF208">
        <v>23</v>
      </c>
      <c r="AG208">
        <v>73486</v>
      </c>
      <c r="AH208">
        <v>57</v>
      </c>
      <c r="AI208">
        <v>7271</v>
      </c>
      <c r="AJ208">
        <v>23</v>
      </c>
      <c r="AK208">
        <v>47.863999999999997</v>
      </c>
      <c r="AL208">
        <v>23</v>
      </c>
      <c r="AM208">
        <v>2.0810430000000002</v>
      </c>
    </row>
    <row r="209" spans="1:39" x14ac:dyDescent="0.3">
      <c r="A209" t="s">
        <v>192</v>
      </c>
      <c r="B209">
        <v>10798.57194</v>
      </c>
      <c r="C209">
        <v>4.1700000000000001E-2</v>
      </c>
      <c r="D209">
        <v>0</v>
      </c>
      <c r="E209">
        <v>-1</v>
      </c>
      <c r="F209">
        <v>-1</v>
      </c>
      <c r="G209">
        <v>-1</v>
      </c>
      <c r="H209">
        <v>0</v>
      </c>
      <c r="I209">
        <v>3600.0877400000004</v>
      </c>
      <c r="K209">
        <v>1</v>
      </c>
      <c r="M209">
        <v>100000</v>
      </c>
      <c r="N209">
        <v>1E-3</v>
      </c>
      <c r="O209">
        <v>-1</v>
      </c>
      <c r="Q209">
        <v>-1</v>
      </c>
      <c r="R209">
        <v>-1</v>
      </c>
      <c r="S209">
        <v>-1</v>
      </c>
      <c r="T209">
        <v>0.11013199999999999</v>
      </c>
      <c r="U209">
        <v>-1</v>
      </c>
      <c r="V209">
        <v>-1</v>
      </c>
      <c r="W209">
        <v>0</v>
      </c>
      <c r="X209">
        <v>3600.0460400000002</v>
      </c>
      <c r="Z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</row>
    <row r="210" spans="1:39" x14ac:dyDescent="0.3">
      <c r="A210" t="s">
        <v>169</v>
      </c>
      <c r="B210">
        <v>10777.14201</v>
      </c>
      <c r="C210">
        <v>4.2157E-2</v>
      </c>
      <c r="D210">
        <v>0</v>
      </c>
      <c r="E210">
        <v>-1</v>
      </c>
      <c r="F210">
        <v>-1</v>
      </c>
      <c r="G210">
        <v>-1</v>
      </c>
      <c r="H210">
        <v>0</v>
      </c>
      <c r="I210">
        <v>3600.0200529999997</v>
      </c>
      <c r="K210">
        <v>1</v>
      </c>
      <c r="M210">
        <v>100000</v>
      </c>
      <c r="N210">
        <v>1E-3</v>
      </c>
      <c r="O210">
        <v>-1</v>
      </c>
      <c r="Q210">
        <v>-1</v>
      </c>
      <c r="R210">
        <v>-1</v>
      </c>
      <c r="S210">
        <v>-1</v>
      </c>
      <c r="T210">
        <v>0.11015900000000001</v>
      </c>
      <c r="U210">
        <v>-1</v>
      </c>
      <c r="V210">
        <v>-1</v>
      </c>
      <c r="W210">
        <v>0</v>
      </c>
      <c r="X210">
        <v>3599.9778959999999</v>
      </c>
      <c r="Z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</row>
    <row r="211" spans="1:39" s="1" customFormat="1" x14ac:dyDescent="0.3">
      <c r="A211" s="1" t="s">
        <v>171</v>
      </c>
      <c r="B211" s="1">
        <v>11434.286190000001</v>
      </c>
      <c r="C211" s="1">
        <v>4.6283999999999999E-2</v>
      </c>
      <c r="D211" s="1">
        <v>0</v>
      </c>
      <c r="E211" s="1">
        <v>81437.286189999999</v>
      </c>
      <c r="F211" s="1">
        <v>-1</v>
      </c>
      <c r="G211" s="1">
        <v>70003</v>
      </c>
      <c r="H211" s="1">
        <v>11434.286190000001</v>
      </c>
      <c r="I211" s="1">
        <v>3608.5795779999999</v>
      </c>
      <c r="K211" s="1">
        <v>1</v>
      </c>
      <c r="M211" s="1">
        <v>100000</v>
      </c>
      <c r="N211" s="1">
        <v>81437.286189999999</v>
      </c>
      <c r="O211" s="1">
        <v>-1</v>
      </c>
      <c r="Q211" s="1">
        <v>1</v>
      </c>
      <c r="R211" s="1">
        <v>-1</v>
      </c>
      <c r="S211" s="1">
        <v>-1</v>
      </c>
      <c r="T211" s="1">
        <v>0</v>
      </c>
      <c r="U211" s="1">
        <v>-1</v>
      </c>
      <c r="V211" s="1">
        <v>-1</v>
      </c>
      <c r="W211" s="1">
        <v>0</v>
      </c>
      <c r="X211" s="1">
        <v>136.41289800000001</v>
      </c>
      <c r="Z211" s="1">
        <v>3472.1203959999998</v>
      </c>
      <c r="AB211" s="1">
        <v>1</v>
      </c>
      <c r="AC211" s="1">
        <v>79093</v>
      </c>
      <c r="AD211" s="1">
        <v>68</v>
      </c>
      <c r="AE211" s="1">
        <v>14508</v>
      </c>
      <c r="AF211" s="1">
        <v>116</v>
      </c>
      <c r="AG211" s="1">
        <v>79093</v>
      </c>
      <c r="AH211" s="1">
        <v>68</v>
      </c>
      <c r="AI211" s="1">
        <v>14508</v>
      </c>
      <c r="AJ211" s="1">
        <v>116</v>
      </c>
      <c r="AK211" s="1">
        <v>249.56800000000001</v>
      </c>
      <c r="AL211" s="1">
        <v>119</v>
      </c>
      <c r="AM211" s="1">
        <v>2.09721</v>
      </c>
    </row>
    <row r="212" spans="1:39" x14ac:dyDescent="0.3">
      <c r="A212" t="s">
        <v>334</v>
      </c>
      <c r="B212">
        <v>12279.999589999999</v>
      </c>
      <c r="C212">
        <v>5.6235E-2</v>
      </c>
      <c r="D212">
        <v>0</v>
      </c>
      <c r="E212">
        <v>92281.999590000007</v>
      </c>
      <c r="F212">
        <v>12279.999589999999</v>
      </c>
      <c r="G212">
        <v>80002</v>
      </c>
      <c r="H212">
        <v>12279.999589999999</v>
      </c>
      <c r="I212">
        <v>738.97925299999997</v>
      </c>
      <c r="J212">
        <v>1614.7061436111114</v>
      </c>
      <c r="K212">
        <v>1</v>
      </c>
      <c r="L212">
        <f>AVERAGE(K212:K229)</f>
        <v>1</v>
      </c>
      <c r="M212">
        <v>92281.999590000007</v>
      </c>
      <c r="N212">
        <v>92281.999590000007</v>
      </c>
      <c r="O212">
        <v>1</v>
      </c>
      <c r="P212">
        <v>18</v>
      </c>
      <c r="Q212">
        <v>1</v>
      </c>
      <c r="R212">
        <v>1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277.63794799999999</v>
      </c>
      <c r="Y212">
        <v>401.32395455555559</v>
      </c>
      <c r="Z212">
        <v>461.28507000000002</v>
      </c>
      <c r="AA212">
        <v>1213.3006517222225</v>
      </c>
      <c r="AB212">
        <v>1</v>
      </c>
      <c r="AC212">
        <v>32641</v>
      </c>
      <c r="AD212">
        <v>52</v>
      </c>
      <c r="AE212">
        <v>3502</v>
      </c>
      <c r="AF212">
        <v>40</v>
      </c>
      <c r="AG212">
        <v>32641</v>
      </c>
      <c r="AH212">
        <v>52</v>
      </c>
      <c r="AI212">
        <v>3502</v>
      </c>
      <c r="AJ212">
        <v>40</v>
      </c>
      <c r="AK212">
        <v>81.867000000000004</v>
      </c>
      <c r="AL212">
        <v>41</v>
      </c>
      <c r="AM212">
        <v>1.996756</v>
      </c>
    </row>
    <row r="213" spans="1:39" x14ac:dyDescent="0.3">
      <c r="A213" t="s">
        <v>335</v>
      </c>
      <c r="B213">
        <v>12375.00128</v>
      </c>
      <c r="C213">
        <v>8.6972999999999995E-2</v>
      </c>
      <c r="D213">
        <v>0</v>
      </c>
      <c r="E213">
        <v>92377.001279999997</v>
      </c>
      <c r="F213">
        <v>12375.001190000001</v>
      </c>
      <c r="G213">
        <v>80002</v>
      </c>
      <c r="H213">
        <v>12375.00128</v>
      </c>
      <c r="I213">
        <v>760.16130300000009</v>
      </c>
      <c r="K213">
        <v>1</v>
      </c>
      <c r="M213">
        <v>92377.001189999995</v>
      </c>
      <c r="N213">
        <v>92377.001279999997</v>
      </c>
      <c r="O213">
        <v>1</v>
      </c>
      <c r="Q213">
        <v>1</v>
      </c>
      <c r="R213">
        <v>1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310.87204700000001</v>
      </c>
      <c r="Z213">
        <v>449.20228300000002</v>
      </c>
      <c r="AB213">
        <v>1</v>
      </c>
      <c r="AC213">
        <v>6328</v>
      </c>
      <c r="AD213">
        <v>48</v>
      </c>
      <c r="AE213">
        <v>1315</v>
      </c>
      <c r="AF213">
        <v>13</v>
      </c>
      <c r="AG213">
        <v>6328</v>
      </c>
      <c r="AH213">
        <v>48</v>
      </c>
      <c r="AI213">
        <v>1315</v>
      </c>
      <c r="AJ213">
        <v>13</v>
      </c>
      <c r="AK213">
        <v>46.768000000000001</v>
      </c>
      <c r="AL213">
        <v>14</v>
      </c>
      <c r="AM213">
        <v>3.3405710000000002</v>
      </c>
    </row>
    <row r="214" spans="1:39" x14ac:dyDescent="0.3">
      <c r="A214" t="s">
        <v>336</v>
      </c>
      <c r="B214">
        <v>12370.001770000001</v>
      </c>
      <c r="C214">
        <v>7.6568999999999998E-2</v>
      </c>
      <c r="D214">
        <v>0</v>
      </c>
      <c r="E214">
        <v>92371.001770000003</v>
      </c>
      <c r="F214">
        <v>12370.00157</v>
      </c>
      <c r="G214">
        <v>80001</v>
      </c>
      <c r="H214">
        <v>12370.001770000001</v>
      </c>
      <c r="I214">
        <v>1172.416444</v>
      </c>
      <c r="K214">
        <v>1</v>
      </c>
      <c r="M214">
        <v>92371.001569999993</v>
      </c>
      <c r="N214">
        <v>92371.001770000003</v>
      </c>
      <c r="O214">
        <v>1</v>
      </c>
      <c r="Q214">
        <v>1</v>
      </c>
      <c r="R214">
        <v>1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237.58120199999999</v>
      </c>
      <c r="Z214">
        <v>934.75867300000004</v>
      </c>
      <c r="AB214">
        <v>1</v>
      </c>
      <c r="AC214">
        <v>10846</v>
      </c>
      <c r="AD214">
        <v>69</v>
      </c>
      <c r="AE214">
        <v>5905</v>
      </c>
      <c r="AF214">
        <v>26</v>
      </c>
      <c r="AG214">
        <v>10846</v>
      </c>
      <c r="AH214">
        <v>69</v>
      </c>
      <c r="AI214">
        <v>5905</v>
      </c>
      <c r="AJ214">
        <v>26</v>
      </c>
      <c r="AK214">
        <v>90.885000000000005</v>
      </c>
      <c r="AL214">
        <v>27</v>
      </c>
      <c r="AM214">
        <v>3.3661110000000001</v>
      </c>
    </row>
    <row r="215" spans="1:39" x14ac:dyDescent="0.3">
      <c r="A215" t="s">
        <v>337</v>
      </c>
      <c r="B215">
        <v>12375.000830000001</v>
      </c>
      <c r="C215">
        <v>8.1178E-2</v>
      </c>
      <c r="D215">
        <v>0</v>
      </c>
      <c r="E215">
        <v>92377.000830000004</v>
      </c>
      <c r="F215">
        <v>12375.00066</v>
      </c>
      <c r="G215">
        <v>80002</v>
      </c>
      <c r="H215">
        <v>12375.000830000001</v>
      </c>
      <c r="I215">
        <v>1232.1761429999999</v>
      </c>
      <c r="K215">
        <v>1</v>
      </c>
      <c r="M215">
        <v>92377.000660000005</v>
      </c>
      <c r="N215">
        <v>92377.000830000004</v>
      </c>
      <c r="O215">
        <v>1</v>
      </c>
      <c r="Q215">
        <v>1</v>
      </c>
      <c r="R215">
        <v>1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246.14276799999999</v>
      </c>
      <c r="Z215">
        <v>985.95219699999996</v>
      </c>
      <c r="AB215">
        <v>1</v>
      </c>
      <c r="AC215">
        <v>7718</v>
      </c>
      <c r="AD215">
        <v>87</v>
      </c>
      <c r="AE215">
        <v>16138</v>
      </c>
      <c r="AF215">
        <v>41</v>
      </c>
      <c r="AG215">
        <v>7718</v>
      </c>
      <c r="AH215">
        <v>87</v>
      </c>
      <c r="AI215">
        <v>16138</v>
      </c>
      <c r="AJ215">
        <v>41</v>
      </c>
      <c r="AK215">
        <v>153.59299999999999</v>
      </c>
      <c r="AL215">
        <v>46</v>
      </c>
      <c r="AM215">
        <v>3.338978</v>
      </c>
    </row>
    <row r="216" spans="1:39" x14ac:dyDescent="0.3">
      <c r="A216" t="s">
        <v>350</v>
      </c>
      <c r="B216">
        <v>12280.00013</v>
      </c>
      <c r="C216">
        <v>8.6123000000000005E-2</v>
      </c>
      <c r="D216">
        <v>0</v>
      </c>
      <c r="E216">
        <v>92283.00013</v>
      </c>
      <c r="F216">
        <v>12279.999970000001</v>
      </c>
      <c r="G216">
        <v>80003</v>
      </c>
      <c r="H216">
        <v>12280.00013</v>
      </c>
      <c r="I216">
        <v>1938.382566</v>
      </c>
      <c r="K216">
        <v>1</v>
      </c>
      <c r="M216">
        <v>92282.999970000004</v>
      </c>
      <c r="N216">
        <v>92283.00013</v>
      </c>
      <c r="O216">
        <v>1</v>
      </c>
      <c r="Q216">
        <v>1</v>
      </c>
      <c r="R216">
        <v>1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358.01314500000001</v>
      </c>
      <c r="Z216">
        <v>1580.2832980000001</v>
      </c>
      <c r="AB216">
        <v>1</v>
      </c>
      <c r="AC216">
        <v>25337</v>
      </c>
      <c r="AD216">
        <v>82</v>
      </c>
      <c r="AE216">
        <v>14050</v>
      </c>
      <c r="AF216">
        <v>4</v>
      </c>
      <c r="AG216">
        <v>25337</v>
      </c>
      <c r="AH216">
        <v>82</v>
      </c>
      <c r="AI216">
        <v>14050</v>
      </c>
      <c r="AJ216">
        <v>4</v>
      </c>
      <c r="AK216">
        <v>17.282</v>
      </c>
      <c r="AL216">
        <v>5</v>
      </c>
      <c r="AM216">
        <v>3.4563999999999999</v>
      </c>
    </row>
    <row r="217" spans="1:39" x14ac:dyDescent="0.3">
      <c r="A217" t="s">
        <v>365</v>
      </c>
      <c r="B217">
        <v>12600.00288</v>
      </c>
      <c r="C217">
        <v>8.3850999999999995E-2</v>
      </c>
      <c r="D217">
        <v>0</v>
      </c>
      <c r="E217">
        <v>92601.00288</v>
      </c>
      <c r="F217">
        <v>12600.002780000001</v>
      </c>
      <c r="G217">
        <v>80001</v>
      </c>
      <c r="H217">
        <v>12600.00288</v>
      </c>
      <c r="I217">
        <v>2406.3646549999999</v>
      </c>
      <c r="K217">
        <v>1</v>
      </c>
      <c r="M217">
        <v>92601.002779999995</v>
      </c>
      <c r="N217">
        <v>92601.00288</v>
      </c>
      <c r="O217">
        <v>1</v>
      </c>
      <c r="Q217">
        <v>1</v>
      </c>
      <c r="R217">
        <v>1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329.90340800000001</v>
      </c>
      <c r="Z217">
        <v>2076.3773959999999</v>
      </c>
      <c r="AB217">
        <v>1</v>
      </c>
      <c r="AC217">
        <v>51140</v>
      </c>
      <c r="AD217">
        <v>82</v>
      </c>
      <c r="AE217">
        <v>11178</v>
      </c>
      <c r="AF217">
        <v>20</v>
      </c>
      <c r="AG217">
        <v>51140</v>
      </c>
      <c r="AH217">
        <v>82</v>
      </c>
      <c r="AI217">
        <v>11178</v>
      </c>
      <c r="AJ217">
        <v>20</v>
      </c>
      <c r="AK217">
        <v>72.832999999999998</v>
      </c>
      <c r="AL217">
        <v>21</v>
      </c>
      <c r="AM217">
        <v>3.4682379999999999</v>
      </c>
    </row>
    <row r="218" spans="1:39" x14ac:dyDescent="0.3">
      <c r="A218" t="s">
        <v>351</v>
      </c>
      <c r="B218">
        <v>12325.000760000001</v>
      </c>
      <c r="C218">
        <v>9.1735999999999998E-2</v>
      </c>
      <c r="D218">
        <v>0</v>
      </c>
      <c r="E218">
        <v>92327.000759999995</v>
      </c>
      <c r="F218">
        <v>12325.000760000001</v>
      </c>
      <c r="G218">
        <v>80002</v>
      </c>
      <c r="H218">
        <v>12325.000760000001</v>
      </c>
      <c r="I218">
        <v>1938.558884</v>
      </c>
      <c r="K218">
        <v>1</v>
      </c>
      <c r="M218">
        <v>92327.000759999995</v>
      </c>
      <c r="N218">
        <v>92327.000759999995</v>
      </c>
      <c r="O218">
        <v>1</v>
      </c>
      <c r="Q218">
        <v>1</v>
      </c>
      <c r="R218">
        <v>1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478.952608</v>
      </c>
      <c r="Z218">
        <v>1459.5145399999999</v>
      </c>
      <c r="AB218">
        <v>1</v>
      </c>
      <c r="AC218">
        <v>12289</v>
      </c>
      <c r="AD218">
        <v>85</v>
      </c>
      <c r="AE218">
        <v>9759</v>
      </c>
      <c r="AF218">
        <v>251</v>
      </c>
      <c r="AG218">
        <v>12289</v>
      </c>
      <c r="AH218">
        <v>85</v>
      </c>
      <c r="AI218">
        <v>9759</v>
      </c>
      <c r="AJ218">
        <v>251</v>
      </c>
      <c r="AK218">
        <v>846.26900000000001</v>
      </c>
      <c r="AL218">
        <v>252</v>
      </c>
      <c r="AM218">
        <v>3.3582100000000001</v>
      </c>
    </row>
    <row r="219" spans="1:39" x14ac:dyDescent="0.3">
      <c r="A219" t="s">
        <v>338</v>
      </c>
      <c r="B219">
        <v>12299.999680000001</v>
      </c>
      <c r="C219">
        <v>7.2872000000000006E-2</v>
      </c>
      <c r="D219">
        <v>0</v>
      </c>
      <c r="E219">
        <v>92303.999679999994</v>
      </c>
      <c r="F219">
        <v>12299.999680000001</v>
      </c>
      <c r="G219">
        <v>80004</v>
      </c>
      <c r="H219">
        <v>12299.999680000001</v>
      </c>
      <c r="I219">
        <v>1376.578636</v>
      </c>
      <c r="K219">
        <v>1</v>
      </c>
      <c r="M219">
        <v>92303.999679999994</v>
      </c>
      <c r="N219">
        <v>92303.999679999994</v>
      </c>
      <c r="O219">
        <v>1</v>
      </c>
      <c r="Q219">
        <v>1</v>
      </c>
      <c r="R219">
        <v>1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553.85719700000004</v>
      </c>
      <c r="Z219">
        <v>822.64856699999996</v>
      </c>
      <c r="AB219">
        <v>1</v>
      </c>
      <c r="AC219">
        <v>6039</v>
      </c>
      <c r="AD219">
        <v>80</v>
      </c>
      <c r="AE219">
        <v>8296</v>
      </c>
      <c r="AF219">
        <v>31</v>
      </c>
      <c r="AG219">
        <v>6039</v>
      </c>
      <c r="AH219">
        <v>80</v>
      </c>
      <c r="AI219">
        <v>8296</v>
      </c>
      <c r="AJ219">
        <v>31</v>
      </c>
      <c r="AK219">
        <v>113.65300000000001</v>
      </c>
      <c r="AL219">
        <v>34</v>
      </c>
      <c r="AM219">
        <v>3.3427349999999998</v>
      </c>
    </row>
    <row r="220" spans="1:39" x14ac:dyDescent="0.3">
      <c r="A220" t="s">
        <v>339</v>
      </c>
      <c r="B220">
        <v>12240.000889999999</v>
      </c>
      <c r="C220">
        <v>6.9903000000000007E-2</v>
      </c>
      <c r="D220">
        <v>0</v>
      </c>
      <c r="E220">
        <v>92242.000889999996</v>
      </c>
      <c r="F220">
        <v>12240.00078</v>
      </c>
      <c r="G220">
        <v>80002</v>
      </c>
      <c r="H220">
        <v>12240.000889999999</v>
      </c>
      <c r="I220">
        <v>1547.6593250000001</v>
      </c>
      <c r="K220">
        <v>1</v>
      </c>
      <c r="M220">
        <v>92242.000780000002</v>
      </c>
      <c r="N220">
        <v>92242.000889999996</v>
      </c>
      <c r="O220">
        <v>1</v>
      </c>
      <c r="Q220">
        <v>1</v>
      </c>
      <c r="R220">
        <v>1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301.468052</v>
      </c>
      <c r="Z220">
        <v>1246.1213700000001</v>
      </c>
      <c r="AB220">
        <v>1</v>
      </c>
      <c r="AC220">
        <v>9829</v>
      </c>
      <c r="AD220">
        <v>68</v>
      </c>
      <c r="AE220">
        <v>14829</v>
      </c>
      <c r="AF220">
        <v>94</v>
      </c>
      <c r="AG220">
        <v>9829</v>
      </c>
      <c r="AH220">
        <v>68</v>
      </c>
      <c r="AI220">
        <v>14829</v>
      </c>
      <c r="AJ220">
        <v>94</v>
      </c>
      <c r="AK220">
        <v>322.73599999999999</v>
      </c>
      <c r="AL220">
        <v>95</v>
      </c>
      <c r="AM220">
        <v>3.397221</v>
      </c>
    </row>
    <row r="221" spans="1:39" x14ac:dyDescent="0.3">
      <c r="A221" t="s">
        <v>340</v>
      </c>
      <c r="B221">
        <v>12395.00049</v>
      </c>
      <c r="C221">
        <v>8.9488999999999999E-2</v>
      </c>
      <c r="D221">
        <v>0</v>
      </c>
      <c r="E221">
        <v>92398.000490000006</v>
      </c>
      <c r="F221">
        <v>12395.000330000001</v>
      </c>
      <c r="G221">
        <v>80003</v>
      </c>
      <c r="H221">
        <v>12395.00049</v>
      </c>
      <c r="I221">
        <v>694.29594099999997</v>
      </c>
      <c r="K221">
        <v>1</v>
      </c>
      <c r="M221">
        <v>92398.000329999995</v>
      </c>
      <c r="N221">
        <v>92398.000490000006</v>
      </c>
      <c r="O221">
        <v>1</v>
      </c>
      <c r="Q221">
        <v>1</v>
      </c>
      <c r="R221">
        <v>1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432.14912399999997</v>
      </c>
      <c r="Z221">
        <v>262.05732799999998</v>
      </c>
      <c r="AB221">
        <v>1</v>
      </c>
      <c r="AC221">
        <v>10343</v>
      </c>
      <c r="AD221">
        <v>64</v>
      </c>
      <c r="AE221">
        <v>3381</v>
      </c>
      <c r="AF221">
        <v>11</v>
      </c>
      <c r="AG221">
        <v>10343</v>
      </c>
      <c r="AH221">
        <v>64</v>
      </c>
      <c r="AI221">
        <v>3381</v>
      </c>
      <c r="AJ221">
        <v>11</v>
      </c>
      <c r="AK221">
        <v>40.465000000000003</v>
      </c>
      <c r="AL221">
        <v>12</v>
      </c>
      <c r="AM221">
        <v>3.3720829999999999</v>
      </c>
    </row>
    <row r="222" spans="1:39" x14ac:dyDescent="0.3">
      <c r="A222" t="s">
        <v>341</v>
      </c>
      <c r="B222">
        <v>12300.00114</v>
      </c>
      <c r="C222">
        <v>9.1801999999999995E-2</v>
      </c>
      <c r="D222">
        <v>0</v>
      </c>
      <c r="E222">
        <v>92302.001139999993</v>
      </c>
      <c r="F222">
        <v>12300.00114</v>
      </c>
      <c r="G222">
        <v>80002</v>
      </c>
      <c r="H222">
        <v>12300.00114</v>
      </c>
      <c r="I222">
        <v>2169.2163260000002</v>
      </c>
      <c r="K222">
        <v>1</v>
      </c>
      <c r="M222">
        <v>92302.001139999993</v>
      </c>
      <c r="N222">
        <v>92302.001139999993</v>
      </c>
      <c r="O222">
        <v>1</v>
      </c>
      <c r="Q222">
        <v>1</v>
      </c>
      <c r="R222">
        <v>1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303.386256</v>
      </c>
      <c r="Z222">
        <v>1865.7382680000001</v>
      </c>
      <c r="AB222">
        <v>1</v>
      </c>
      <c r="AC222">
        <v>11298</v>
      </c>
      <c r="AD222">
        <v>90</v>
      </c>
      <c r="AE222">
        <v>20724</v>
      </c>
      <c r="AF222">
        <v>31</v>
      </c>
      <c r="AG222">
        <v>11298</v>
      </c>
      <c r="AH222">
        <v>90</v>
      </c>
      <c r="AI222">
        <v>20724</v>
      </c>
      <c r="AJ222">
        <v>31</v>
      </c>
      <c r="AK222">
        <v>110.48</v>
      </c>
      <c r="AL222">
        <v>33</v>
      </c>
      <c r="AM222">
        <v>3.3478789999999998</v>
      </c>
    </row>
    <row r="223" spans="1:39" x14ac:dyDescent="0.3">
      <c r="A223" t="s">
        <v>342</v>
      </c>
      <c r="B223">
        <v>12875</v>
      </c>
      <c r="C223">
        <v>8.5525000000000004E-2</v>
      </c>
      <c r="D223">
        <v>0</v>
      </c>
      <c r="E223">
        <v>92878</v>
      </c>
      <c r="F223">
        <v>12874.999980000001</v>
      </c>
      <c r="G223">
        <v>80003</v>
      </c>
      <c r="H223">
        <v>12875</v>
      </c>
      <c r="I223">
        <v>762.40442899999994</v>
      </c>
      <c r="K223">
        <v>1</v>
      </c>
      <c r="M223">
        <v>92877.999979999993</v>
      </c>
      <c r="N223">
        <v>92878</v>
      </c>
      <c r="O223">
        <v>1</v>
      </c>
      <c r="Q223">
        <v>1</v>
      </c>
      <c r="R223">
        <v>1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379.42287499999998</v>
      </c>
      <c r="Z223">
        <v>382.896029</v>
      </c>
      <c r="AB223">
        <v>1</v>
      </c>
      <c r="AC223">
        <v>8430</v>
      </c>
      <c r="AD223">
        <v>60</v>
      </c>
      <c r="AE223">
        <v>1257</v>
      </c>
      <c r="AF223">
        <v>6</v>
      </c>
      <c r="AG223">
        <v>8430</v>
      </c>
      <c r="AH223">
        <v>60</v>
      </c>
      <c r="AI223">
        <v>1257</v>
      </c>
      <c r="AJ223">
        <v>6</v>
      </c>
      <c r="AK223">
        <v>23.54</v>
      </c>
      <c r="AL223">
        <v>7</v>
      </c>
      <c r="AM223">
        <v>3.362857</v>
      </c>
    </row>
    <row r="224" spans="1:39" x14ac:dyDescent="0.3">
      <c r="A224" t="s">
        <v>343</v>
      </c>
      <c r="B224">
        <v>12354.999739999999</v>
      </c>
      <c r="C224">
        <v>7.1901999999999994E-2</v>
      </c>
      <c r="D224">
        <v>0</v>
      </c>
      <c r="E224">
        <v>92358.999739999999</v>
      </c>
      <c r="F224">
        <v>12354.99955</v>
      </c>
      <c r="G224">
        <v>80004</v>
      </c>
      <c r="H224">
        <v>12354.999739999999</v>
      </c>
      <c r="I224">
        <v>2364.6393480000002</v>
      </c>
      <c r="K224">
        <v>1</v>
      </c>
      <c r="M224">
        <v>92358.999549999993</v>
      </c>
      <c r="N224">
        <v>92358.999739999999</v>
      </c>
      <c r="O224">
        <v>1</v>
      </c>
      <c r="Q224">
        <v>1</v>
      </c>
      <c r="R224">
        <v>1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655.05194500000005</v>
      </c>
      <c r="Z224">
        <v>1709.5155010000001</v>
      </c>
      <c r="AB224">
        <v>1</v>
      </c>
      <c r="AC224">
        <v>24147</v>
      </c>
      <c r="AD224">
        <v>55</v>
      </c>
      <c r="AE224">
        <v>4418</v>
      </c>
      <c r="AF224">
        <v>321</v>
      </c>
      <c r="AG224">
        <v>24147</v>
      </c>
      <c r="AH224">
        <v>55</v>
      </c>
      <c r="AI224">
        <v>4418</v>
      </c>
      <c r="AJ224">
        <v>321</v>
      </c>
      <c r="AK224">
        <v>1099.3810000000001</v>
      </c>
      <c r="AL224">
        <v>322</v>
      </c>
      <c r="AM224">
        <v>3.4142269999999999</v>
      </c>
    </row>
    <row r="225" spans="1:39" x14ac:dyDescent="0.3">
      <c r="A225" t="s">
        <v>344</v>
      </c>
      <c r="B225">
        <v>12199.99719</v>
      </c>
      <c r="C225">
        <v>7.1093000000000003E-2</v>
      </c>
      <c r="D225">
        <v>0</v>
      </c>
      <c r="E225">
        <v>92201.997189999995</v>
      </c>
      <c r="F225">
        <v>12199.997240000001</v>
      </c>
      <c r="G225">
        <v>80002</v>
      </c>
      <c r="H225">
        <v>12199.99719</v>
      </c>
      <c r="I225">
        <v>2362.8195110000001</v>
      </c>
      <c r="K225">
        <v>1</v>
      </c>
      <c r="M225">
        <v>92201.997239999997</v>
      </c>
      <c r="N225">
        <v>92201.997189999995</v>
      </c>
      <c r="O225">
        <v>1</v>
      </c>
      <c r="Q225">
        <v>1</v>
      </c>
      <c r="R225">
        <v>1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476.70553100000001</v>
      </c>
      <c r="Z225">
        <v>1886.0428870000001</v>
      </c>
      <c r="AB225">
        <v>1</v>
      </c>
      <c r="AC225">
        <v>15558</v>
      </c>
      <c r="AD225">
        <v>79</v>
      </c>
      <c r="AE225">
        <v>23183</v>
      </c>
      <c r="AF225">
        <v>47</v>
      </c>
      <c r="AG225">
        <v>15558</v>
      </c>
      <c r="AH225">
        <v>79</v>
      </c>
      <c r="AI225">
        <v>23183</v>
      </c>
      <c r="AJ225">
        <v>47</v>
      </c>
      <c r="AK225">
        <v>162.68700000000001</v>
      </c>
      <c r="AL225">
        <v>48</v>
      </c>
      <c r="AM225">
        <v>3.389313</v>
      </c>
    </row>
    <row r="226" spans="1:39" x14ac:dyDescent="0.3">
      <c r="A226" t="s">
        <v>346</v>
      </c>
      <c r="B226">
        <v>12179.999739999999</v>
      </c>
      <c r="C226">
        <v>7.3932999999999999E-2</v>
      </c>
      <c r="D226">
        <v>0</v>
      </c>
      <c r="E226">
        <v>92181.999739999999</v>
      </c>
      <c r="F226">
        <v>12179.999739999999</v>
      </c>
      <c r="G226">
        <v>80002</v>
      </c>
      <c r="H226">
        <v>12179.999739999999</v>
      </c>
      <c r="I226">
        <v>1593.8557840000001</v>
      </c>
      <c r="K226">
        <v>1</v>
      </c>
      <c r="M226">
        <v>92181.999739999999</v>
      </c>
      <c r="N226">
        <v>92181.999739999999</v>
      </c>
      <c r="O226">
        <v>1</v>
      </c>
      <c r="Q226">
        <v>1</v>
      </c>
      <c r="R226">
        <v>1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537.16518099999996</v>
      </c>
      <c r="Z226">
        <v>1056.6166700000001</v>
      </c>
      <c r="AB226">
        <v>1</v>
      </c>
      <c r="AC226">
        <v>10424</v>
      </c>
      <c r="AD226">
        <v>81</v>
      </c>
      <c r="AE226">
        <v>7240</v>
      </c>
      <c r="AF226">
        <v>19</v>
      </c>
      <c r="AG226">
        <v>10424</v>
      </c>
      <c r="AH226">
        <v>81</v>
      </c>
      <c r="AI226">
        <v>7240</v>
      </c>
      <c r="AJ226">
        <v>19</v>
      </c>
      <c r="AK226">
        <v>70.022000000000006</v>
      </c>
      <c r="AL226">
        <v>20</v>
      </c>
      <c r="AM226">
        <v>3.5011000000000001</v>
      </c>
    </row>
    <row r="227" spans="1:39" x14ac:dyDescent="0.3">
      <c r="A227" t="s">
        <v>347</v>
      </c>
      <c r="B227">
        <v>12600.00288</v>
      </c>
      <c r="C227">
        <v>8.5264000000000006E-2</v>
      </c>
      <c r="D227">
        <v>0</v>
      </c>
      <c r="E227">
        <v>92602.00288</v>
      </c>
      <c r="F227">
        <v>12600.00287</v>
      </c>
      <c r="G227">
        <v>80002</v>
      </c>
      <c r="H227">
        <v>12600.00288</v>
      </c>
      <c r="I227">
        <v>1647.052694</v>
      </c>
      <c r="K227">
        <v>1</v>
      </c>
      <c r="M227">
        <v>92602.002869999997</v>
      </c>
      <c r="N227">
        <v>92602.00288</v>
      </c>
      <c r="O227">
        <v>1</v>
      </c>
      <c r="Q227">
        <v>1</v>
      </c>
      <c r="R227">
        <v>1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461.361063</v>
      </c>
      <c r="Z227">
        <v>1185.6063670000001</v>
      </c>
      <c r="AB227">
        <v>1</v>
      </c>
      <c r="AC227">
        <v>12682</v>
      </c>
      <c r="AD227">
        <v>67</v>
      </c>
      <c r="AE227">
        <v>5586</v>
      </c>
      <c r="AF227">
        <v>50</v>
      </c>
      <c r="AG227">
        <v>12682</v>
      </c>
      <c r="AH227">
        <v>67</v>
      </c>
      <c r="AI227">
        <v>5586</v>
      </c>
      <c r="AJ227">
        <v>50</v>
      </c>
      <c r="AK227">
        <v>174.23699999999999</v>
      </c>
      <c r="AL227">
        <v>51</v>
      </c>
      <c r="AM227">
        <v>3.4164119999999998</v>
      </c>
    </row>
    <row r="228" spans="1:39" x14ac:dyDescent="0.3">
      <c r="A228" t="s">
        <v>348</v>
      </c>
      <c r="B228">
        <v>12350.000760000001</v>
      </c>
      <c r="C228">
        <v>0.102952</v>
      </c>
      <c r="D228">
        <v>0</v>
      </c>
      <c r="E228">
        <v>92352.000759999995</v>
      </c>
      <c r="F228">
        <v>12350.00095</v>
      </c>
      <c r="G228">
        <v>80002</v>
      </c>
      <c r="H228">
        <v>12350.000760000001</v>
      </c>
      <c r="I228">
        <v>2161.1417430000001</v>
      </c>
      <c r="K228">
        <v>1</v>
      </c>
      <c r="M228">
        <v>92352.000950000001</v>
      </c>
      <c r="N228">
        <v>92352.000759999995</v>
      </c>
      <c r="O228">
        <v>1</v>
      </c>
      <c r="Q228">
        <v>1</v>
      </c>
      <c r="R228">
        <v>1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360.63725299999999</v>
      </c>
      <c r="Z228">
        <v>1800.4015380000001</v>
      </c>
      <c r="AB228">
        <v>1</v>
      </c>
      <c r="AC228">
        <v>15670</v>
      </c>
      <c r="AD228">
        <v>82</v>
      </c>
      <c r="AE228">
        <v>9946</v>
      </c>
      <c r="AF228">
        <v>54</v>
      </c>
      <c r="AG228">
        <v>15670</v>
      </c>
      <c r="AH228">
        <v>82</v>
      </c>
      <c r="AI228">
        <v>9946</v>
      </c>
      <c r="AJ228">
        <v>54</v>
      </c>
      <c r="AK228">
        <v>191.536</v>
      </c>
      <c r="AL228">
        <v>56</v>
      </c>
      <c r="AM228">
        <v>3.4202859999999999</v>
      </c>
    </row>
    <row r="229" spans="1:39" s="4" customFormat="1" x14ac:dyDescent="0.3">
      <c r="A229" s="4" t="s">
        <v>349</v>
      </c>
      <c r="B229" s="4">
        <v>13040.00044</v>
      </c>
      <c r="C229" s="4">
        <v>9.0272000000000005E-2</v>
      </c>
      <c r="D229" s="4">
        <v>0</v>
      </c>
      <c r="E229" s="4">
        <v>93042.000440000003</v>
      </c>
      <c r="F229" s="4">
        <v>13040.00044</v>
      </c>
      <c r="G229" s="4">
        <v>80002</v>
      </c>
      <c r="H229" s="4">
        <v>13040.00044</v>
      </c>
      <c r="I229" s="4">
        <v>2198.0075999999999</v>
      </c>
      <c r="K229" s="4">
        <v>1</v>
      </c>
      <c r="M229" s="4">
        <v>93042.000440000003</v>
      </c>
      <c r="N229" s="4">
        <v>93042.000440000003</v>
      </c>
      <c r="O229" s="4">
        <v>1</v>
      </c>
      <c r="Q229" s="4">
        <v>1</v>
      </c>
      <c r="R229" s="4">
        <v>1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523.52357900000004</v>
      </c>
      <c r="Z229" s="4">
        <v>1674.3937490000001</v>
      </c>
      <c r="AB229" s="4">
        <v>1</v>
      </c>
      <c r="AC229" s="4">
        <v>15354</v>
      </c>
      <c r="AD229" s="4">
        <v>68</v>
      </c>
      <c r="AE229" s="4">
        <v>3522</v>
      </c>
      <c r="AF229" s="4">
        <v>281</v>
      </c>
      <c r="AG229" s="4">
        <v>15354</v>
      </c>
      <c r="AH229" s="4">
        <v>68</v>
      </c>
      <c r="AI229" s="4">
        <v>3522</v>
      </c>
      <c r="AJ229" s="4">
        <v>281</v>
      </c>
      <c r="AK229" s="4">
        <v>958.78499999999997</v>
      </c>
      <c r="AL229" s="4">
        <v>285</v>
      </c>
      <c r="AM229" s="4">
        <v>3.3641580000000002</v>
      </c>
    </row>
    <row r="230" spans="1:39" x14ac:dyDescent="0.3">
      <c r="A230" t="s">
        <v>384</v>
      </c>
      <c r="B230">
        <v>12389.999610000001</v>
      </c>
      <c r="C230">
        <v>8.5627999999999996E-2</v>
      </c>
      <c r="D230">
        <v>0</v>
      </c>
      <c r="E230">
        <v>-1</v>
      </c>
      <c r="F230">
        <v>-1</v>
      </c>
      <c r="G230">
        <v>-1</v>
      </c>
      <c r="H230">
        <v>0</v>
      </c>
      <c r="I230">
        <v>3600.0820689999996</v>
      </c>
      <c r="K230">
        <v>1</v>
      </c>
      <c r="M230">
        <v>1000000</v>
      </c>
      <c r="N230">
        <v>1E-3</v>
      </c>
      <c r="O230">
        <v>-1</v>
      </c>
      <c r="Q230">
        <v>-1</v>
      </c>
      <c r="R230">
        <v>-1</v>
      </c>
      <c r="S230">
        <v>-1</v>
      </c>
      <c r="T230">
        <v>9.7673999999999997E-2</v>
      </c>
      <c r="U230">
        <v>-1</v>
      </c>
      <c r="V230">
        <v>-1</v>
      </c>
      <c r="W230">
        <v>0</v>
      </c>
      <c r="X230">
        <v>3599.9964409999998</v>
      </c>
      <c r="Z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</row>
    <row r="231" spans="1:39" x14ac:dyDescent="0.3">
      <c r="A231" t="s">
        <v>386</v>
      </c>
      <c r="B231">
        <v>12320.00051</v>
      </c>
      <c r="C231">
        <v>9.3094999999999997E-2</v>
      </c>
      <c r="D231">
        <v>0</v>
      </c>
      <c r="E231">
        <v>92321.000509999998</v>
      </c>
      <c r="F231">
        <v>-1</v>
      </c>
      <c r="G231">
        <v>80001</v>
      </c>
      <c r="H231">
        <v>12320.00051</v>
      </c>
      <c r="I231">
        <v>3642.2311089999998</v>
      </c>
      <c r="K231">
        <v>1</v>
      </c>
      <c r="M231">
        <v>1000000</v>
      </c>
      <c r="N231">
        <v>92321.000509999998</v>
      </c>
      <c r="O231">
        <v>-1</v>
      </c>
      <c r="Q231">
        <v>1</v>
      </c>
      <c r="R231">
        <v>-1</v>
      </c>
      <c r="S231">
        <v>-1</v>
      </c>
      <c r="T231">
        <v>0</v>
      </c>
      <c r="U231">
        <v>-1</v>
      </c>
      <c r="V231">
        <v>-1</v>
      </c>
      <c r="W231">
        <v>0</v>
      </c>
      <c r="X231">
        <v>344.69408099999998</v>
      </c>
      <c r="Z231">
        <v>3297.443933</v>
      </c>
      <c r="AB231">
        <v>1</v>
      </c>
      <c r="AC231">
        <v>24174</v>
      </c>
      <c r="AD231">
        <v>86</v>
      </c>
      <c r="AE231">
        <v>20175</v>
      </c>
      <c r="AF231">
        <v>264</v>
      </c>
      <c r="AG231">
        <v>24174</v>
      </c>
      <c r="AH231">
        <v>86</v>
      </c>
      <c r="AI231">
        <v>20175</v>
      </c>
      <c r="AJ231">
        <v>264</v>
      </c>
      <c r="AK231">
        <v>887.26099999999997</v>
      </c>
      <c r="AL231">
        <v>264</v>
      </c>
      <c r="AM231">
        <v>3.3608370000000001</v>
      </c>
    </row>
    <row r="232" spans="1:39" x14ac:dyDescent="0.3">
      <c r="A232" t="s">
        <v>390</v>
      </c>
      <c r="B232">
        <v>12299.99883</v>
      </c>
      <c r="C232">
        <v>7.6127E-2</v>
      </c>
      <c r="D232">
        <v>0</v>
      </c>
      <c r="E232">
        <v>-1</v>
      </c>
      <c r="F232">
        <v>-1</v>
      </c>
      <c r="G232">
        <v>-1</v>
      </c>
      <c r="H232">
        <v>0</v>
      </c>
      <c r="I232">
        <v>3600.1057099999998</v>
      </c>
      <c r="K232">
        <v>1</v>
      </c>
      <c r="M232">
        <v>1000000</v>
      </c>
      <c r="N232">
        <v>1E-3</v>
      </c>
      <c r="O232">
        <v>-1</v>
      </c>
      <c r="Q232">
        <v>-1</v>
      </c>
      <c r="R232">
        <v>-1</v>
      </c>
      <c r="S232">
        <v>-1</v>
      </c>
      <c r="T232">
        <v>6.7593E-2</v>
      </c>
      <c r="U232">
        <v>-1</v>
      </c>
      <c r="V232">
        <v>-1</v>
      </c>
      <c r="W232">
        <v>0</v>
      </c>
      <c r="X232">
        <v>3600.029583</v>
      </c>
      <c r="Z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</row>
    <row r="233" spans="1:39" x14ac:dyDescent="0.3">
      <c r="A233" t="s">
        <v>391</v>
      </c>
      <c r="B233">
        <v>12360.00001</v>
      </c>
      <c r="C233">
        <v>8.2896999999999998E-2</v>
      </c>
      <c r="D233">
        <v>0</v>
      </c>
      <c r="E233">
        <v>92362.000010000003</v>
      </c>
      <c r="F233">
        <v>-1</v>
      </c>
      <c r="G233">
        <v>80002</v>
      </c>
      <c r="H233">
        <v>12360.00001</v>
      </c>
      <c r="I233">
        <v>3601.119385</v>
      </c>
      <c r="K233">
        <v>1</v>
      </c>
      <c r="M233">
        <v>1000000</v>
      </c>
      <c r="N233">
        <v>92362.000010000003</v>
      </c>
      <c r="O233">
        <v>-1</v>
      </c>
      <c r="Q233">
        <v>1</v>
      </c>
      <c r="R233">
        <v>-1</v>
      </c>
      <c r="S233">
        <v>-1</v>
      </c>
      <c r="T233">
        <v>0</v>
      </c>
      <c r="U233">
        <v>-1</v>
      </c>
      <c r="V233">
        <v>-1</v>
      </c>
      <c r="W233">
        <v>0</v>
      </c>
      <c r="X233">
        <v>203.06306799999999</v>
      </c>
      <c r="Z233">
        <v>3397.9734199999998</v>
      </c>
      <c r="AB233">
        <v>1</v>
      </c>
      <c r="AC233">
        <v>56107</v>
      </c>
      <c r="AD233">
        <v>44</v>
      </c>
      <c r="AE233">
        <v>428</v>
      </c>
      <c r="AF233">
        <v>0</v>
      </c>
      <c r="AG233">
        <v>56107</v>
      </c>
      <c r="AH233">
        <v>44</v>
      </c>
      <c r="AI233">
        <v>428</v>
      </c>
      <c r="AJ233">
        <v>0</v>
      </c>
      <c r="AK233">
        <v>0</v>
      </c>
      <c r="AL233">
        <v>0</v>
      </c>
      <c r="AM233">
        <v>0</v>
      </c>
    </row>
    <row r="234" spans="1:39" x14ac:dyDescent="0.3">
      <c r="A234" t="s">
        <v>393</v>
      </c>
      <c r="B234">
        <v>13120.00209</v>
      </c>
      <c r="C234">
        <v>0.121653</v>
      </c>
      <c r="D234">
        <v>0</v>
      </c>
      <c r="E234">
        <v>-1</v>
      </c>
      <c r="F234">
        <v>-1</v>
      </c>
      <c r="G234">
        <v>-1</v>
      </c>
      <c r="H234">
        <v>0</v>
      </c>
      <c r="I234">
        <v>3600.0855470000001</v>
      </c>
      <c r="K234">
        <v>1</v>
      </c>
      <c r="M234">
        <v>1000000</v>
      </c>
      <c r="N234">
        <v>1E-3</v>
      </c>
      <c r="O234">
        <v>-1</v>
      </c>
      <c r="Q234">
        <v>-1</v>
      </c>
      <c r="R234">
        <v>-1</v>
      </c>
      <c r="S234">
        <v>-1</v>
      </c>
      <c r="T234">
        <v>9.6973000000000004E-2</v>
      </c>
      <c r="U234">
        <v>-1</v>
      </c>
      <c r="V234">
        <v>-1</v>
      </c>
      <c r="W234">
        <v>0</v>
      </c>
      <c r="X234">
        <v>3599.963894</v>
      </c>
      <c r="Z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</row>
    <row r="235" spans="1:39" x14ac:dyDescent="0.3">
      <c r="A235" t="s">
        <v>352</v>
      </c>
      <c r="B235">
        <v>12395.00006</v>
      </c>
      <c r="C235">
        <v>0.121201</v>
      </c>
      <c r="D235">
        <v>0</v>
      </c>
      <c r="E235">
        <v>-1</v>
      </c>
      <c r="F235">
        <v>-1</v>
      </c>
      <c r="G235">
        <v>-1</v>
      </c>
      <c r="H235">
        <v>0</v>
      </c>
      <c r="I235">
        <v>3600.0633469999998</v>
      </c>
      <c r="K235">
        <v>1</v>
      </c>
      <c r="M235">
        <v>1000000</v>
      </c>
      <c r="N235">
        <v>1E-3</v>
      </c>
      <c r="O235">
        <v>-1</v>
      </c>
      <c r="Q235">
        <v>-1</v>
      </c>
      <c r="R235">
        <v>-1</v>
      </c>
      <c r="S235">
        <v>-1</v>
      </c>
      <c r="T235">
        <v>9.7659999999999997E-2</v>
      </c>
      <c r="U235">
        <v>-1</v>
      </c>
      <c r="V235">
        <v>-1</v>
      </c>
      <c r="W235">
        <v>0</v>
      </c>
      <c r="X235">
        <v>3599.9421459999999</v>
      </c>
      <c r="Z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</row>
    <row r="236" spans="1:39" x14ac:dyDescent="0.3">
      <c r="A236" t="s">
        <v>353</v>
      </c>
      <c r="B236">
        <v>12430.00188</v>
      </c>
      <c r="C236">
        <v>5.5718999999999998E-2</v>
      </c>
      <c r="D236">
        <v>0</v>
      </c>
      <c r="E236">
        <v>92432.001879999996</v>
      </c>
      <c r="F236">
        <v>-1</v>
      </c>
      <c r="G236">
        <v>80002</v>
      </c>
      <c r="H236">
        <v>12430.00188</v>
      </c>
      <c r="I236">
        <v>3600.8031570000003</v>
      </c>
      <c r="K236">
        <v>1</v>
      </c>
      <c r="M236">
        <v>1000000</v>
      </c>
      <c r="N236">
        <v>92432.001879999996</v>
      </c>
      <c r="O236">
        <v>-1</v>
      </c>
      <c r="Q236">
        <v>1</v>
      </c>
      <c r="R236">
        <v>-1</v>
      </c>
      <c r="S236">
        <v>-1</v>
      </c>
      <c r="T236">
        <v>0</v>
      </c>
      <c r="U236">
        <v>-1</v>
      </c>
      <c r="V236">
        <v>-1</v>
      </c>
      <c r="W236">
        <v>0</v>
      </c>
      <c r="X236">
        <v>194.689874</v>
      </c>
      <c r="Z236">
        <v>3406.0575640000002</v>
      </c>
      <c r="AB236">
        <v>1</v>
      </c>
      <c r="AC236">
        <v>67220</v>
      </c>
      <c r="AD236">
        <v>68</v>
      </c>
      <c r="AE236">
        <v>7017</v>
      </c>
      <c r="AF236">
        <v>69</v>
      </c>
      <c r="AG236">
        <v>67220</v>
      </c>
      <c r="AH236">
        <v>68</v>
      </c>
      <c r="AI236">
        <v>7017</v>
      </c>
      <c r="AJ236">
        <v>69</v>
      </c>
      <c r="AK236">
        <v>142.99299999999999</v>
      </c>
      <c r="AL236">
        <v>69</v>
      </c>
      <c r="AM236">
        <v>2.072362</v>
      </c>
    </row>
    <row r="237" spans="1:39" x14ac:dyDescent="0.3">
      <c r="A237" t="s">
        <v>354</v>
      </c>
      <c r="B237">
        <v>12379.99876</v>
      </c>
      <c r="C237">
        <v>0.109232</v>
      </c>
      <c r="D237">
        <v>0</v>
      </c>
      <c r="E237">
        <v>92383.998760000002</v>
      </c>
      <c r="F237">
        <v>-1</v>
      </c>
      <c r="G237">
        <v>80004</v>
      </c>
      <c r="H237">
        <v>12379.99876</v>
      </c>
      <c r="I237">
        <v>3600.3582419999998</v>
      </c>
      <c r="K237">
        <v>1</v>
      </c>
      <c r="M237">
        <v>1000000</v>
      </c>
      <c r="N237">
        <v>92383.998760000002</v>
      </c>
      <c r="O237">
        <v>-1</v>
      </c>
      <c r="Q237">
        <v>1</v>
      </c>
      <c r="R237">
        <v>-1</v>
      </c>
      <c r="S237">
        <v>-1</v>
      </c>
      <c r="T237">
        <v>0</v>
      </c>
      <c r="U237">
        <v>-1</v>
      </c>
      <c r="V237">
        <v>-1</v>
      </c>
      <c r="W237">
        <v>0</v>
      </c>
      <c r="X237">
        <v>717.70688800000005</v>
      </c>
      <c r="Z237">
        <v>2882.5421219999998</v>
      </c>
      <c r="AB237">
        <v>1</v>
      </c>
      <c r="AC237">
        <v>29942</v>
      </c>
      <c r="AD237">
        <v>93</v>
      </c>
      <c r="AE237">
        <v>18044</v>
      </c>
      <c r="AF237">
        <v>0</v>
      </c>
      <c r="AG237">
        <v>29942</v>
      </c>
      <c r="AH237">
        <v>93</v>
      </c>
      <c r="AI237">
        <v>18044</v>
      </c>
      <c r="AJ237">
        <v>0</v>
      </c>
      <c r="AK237">
        <v>0</v>
      </c>
      <c r="AL237">
        <v>0</v>
      </c>
      <c r="AM237">
        <v>0</v>
      </c>
    </row>
    <row r="238" spans="1:39" x14ac:dyDescent="0.3">
      <c r="A238" t="s">
        <v>355</v>
      </c>
      <c r="B238">
        <v>12354.999970000001</v>
      </c>
      <c r="C238">
        <v>7.5094999999999995E-2</v>
      </c>
      <c r="D238">
        <v>0</v>
      </c>
      <c r="E238">
        <v>92355.999970000004</v>
      </c>
      <c r="F238">
        <v>-1</v>
      </c>
      <c r="G238">
        <v>80001</v>
      </c>
      <c r="H238">
        <v>12354.999970000001</v>
      </c>
      <c r="I238">
        <v>3600.6877690000001</v>
      </c>
      <c r="K238">
        <v>2</v>
      </c>
      <c r="M238">
        <v>95580.999049999999</v>
      </c>
      <c r="N238">
        <v>92355.999970000004</v>
      </c>
      <c r="O238">
        <v>-1</v>
      </c>
      <c r="Q238">
        <v>1</v>
      </c>
      <c r="R238">
        <v>-1</v>
      </c>
      <c r="S238">
        <v>-1</v>
      </c>
      <c r="T238">
        <v>0</v>
      </c>
      <c r="U238">
        <v>-1</v>
      </c>
      <c r="V238">
        <v>0</v>
      </c>
      <c r="W238">
        <v>0</v>
      </c>
      <c r="X238">
        <v>377.257251</v>
      </c>
      <c r="Z238">
        <v>3223.355423</v>
      </c>
      <c r="AB238">
        <v>2</v>
      </c>
      <c r="AC238">
        <v>117108</v>
      </c>
      <c r="AD238">
        <v>88</v>
      </c>
      <c r="AE238">
        <v>8610</v>
      </c>
      <c r="AF238">
        <v>32</v>
      </c>
      <c r="AG238">
        <v>58554</v>
      </c>
      <c r="AH238">
        <v>44</v>
      </c>
      <c r="AI238">
        <v>4305</v>
      </c>
      <c r="AJ238">
        <v>16</v>
      </c>
      <c r="AK238">
        <v>110.572</v>
      </c>
      <c r="AL238">
        <v>33</v>
      </c>
      <c r="AM238">
        <v>3.3506670000000001</v>
      </c>
    </row>
    <row r="239" spans="1:39" x14ac:dyDescent="0.3">
      <c r="A239" t="s">
        <v>356</v>
      </c>
      <c r="B239">
        <v>12319.999750000001</v>
      </c>
      <c r="C239">
        <v>7.5967999999999994E-2</v>
      </c>
      <c r="D239">
        <v>0</v>
      </c>
      <c r="E239">
        <v>-1</v>
      </c>
      <c r="F239">
        <v>-1</v>
      </c>
      <c r="G239">
        <v>-1</v>
      </c>
      <c r="H239">
        <v>0</v>
      </c>
      <c r="I239">
        <v>3600.0696870000002</v>
      </c>
      <c r="K239">
        <v>1</v>
      </c>
      <c r="M239">
        <v>1000000</v>
      </c>
      <c r="N239">
        <v>1E-3</v>
      </c>
      <c r="O239">
        <v>-1</v>
      </c>
      <c r="Q239">
        <v>-1</v>
      </c>
      <c r="R239">
        <v>-1</v>
      </c>
      <c r="S239">
        <v>-1</v>
      </c>
      <c r="T239">
        <v>9.7731999999999999E-2</v>
      </c>
      <c r="U239">
        <v>-1</v>
      </c>
      <c r="V239">
        <v>-1</v>
      </c>
      <c r="W239">
        <v>0</v>
      </c>
      <c r="X239">
        <v>3599.9937190000001</v>
      </c>
      <c r="Z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</row>
    <row r="240" spans="1:39" x14ac:dyDescent="0.3">
      <c r="A240" t="s">
        <v>357</v>
      </c>
      <c r="B240">
        <v>12339.999739999999</v>
      </c>
      <c r="C240">
        <v>0.18395600000000001</v>
      </c>
      <c r="D240">
        <v>0</v>
      </c>
      <c r="E240">
        <v>92341.999739999999</v>
      </c>
      <c r="F240">
        <v>-1</v>
      </c>
      <c r="G240">
        <v>80002</v>
      </c>
      <c r="H240">
        <v>12339.999739999999</v>
      </c>
      <c r="I240">
        <v>3631.1898270000002</v>
      </c>
      <c r="K240">
        <v>1</v>
      </c>
      <c r="M240">
        <v>1000000</v>
      </c>
      <c r="N240">
        <v>92341.999739999999</v>
      </c>
      <c r="O240">
        <v>-1</v>
      </c>
      <c r="Q240">
        <v>1</v>
      </c>
      <c r="R240">
        <v>-1</v>
      </c>
      <c r="S240">
        <v>-1</v>
      </c>
      <c r="T240">
        <v>0</v>
      </c>
      <c r="U240">
        <v>-1</v>
      </c>
      <c r="V240">
        <v>-1</v>
      </c>
      <c r="W240">
        <v>0</v>
      </c>
      <c r="X240">
        <v>241.54799499999999</v>
      </c>
      <c r="Z240">
        <v>3389.4578759999999</v>
      </c>
      <c r="AB240">
        <v>1</v>
      </c>
      <c r="AC240">
        <v>16618</v>
      </c>
      <c r="AD240">
        <v>63</v>
      </c>
      <c r="AE240">
        <v>6267</v>
      </c>
      <c r="AF240">
        <v>791</v>
      </c>
      <c r="AG240">
        <v>16618</v>
      </c>
      <c r="AH240">
        <v>63</v>
      </c>
      <c r="AI240">
        <v>6267</v>
      </c>
      <c r="AJ240">
        <v>791</v>
      </c>
      <c r="AK240">
        <v>2644.6410000000001</v>
      </c>
      <c r="AL240">
        <v>791</v>
      </c>
      <c r="AM240">
        <v>3.3434149999999998</v>
      </c>
    </row>
    <row r="241" spans="1:39" s="1" customFormat="1" x14ac:dyDescent="0.3">
      <c r="A241" s="1" t="s">
        <v>358</v>
      </c>
      <c r="B241" s="1">
        <v>12875</v>
      </c>
      <c r="C241" s="1">
        <v>8.2086000000000006E-2</v>
      </c>
      <c r="D241" s="1">
        <v>0</v>
      </c>
      <c r="E241" s="1">
        <v>92877</v>
      </c>
      <c r="F241" s="1">
        <v>-1</v>
      </c>
      <c r="G241" s="1">
        <v>80002</v>
      </c>
      <c r="H241" s="1">
        <v>12875</v>
      </c>
      <c r="I241" s="1">
        <v>3667.027251</v>
      </c>
      <c r="K241" s="1">
        <v>1</v>
      </c>
      <c r="M241" s="1">
        <v>1000000</v>
      </c>
      <c r="N241" s="1">
        <v>92877</v>
      </c>
      <c r="O241" s="1">
        <v>-1</v>
      </c>
      <c r="Q241" s="1">
        <v>1</v>
      </c>
      <c r="R241" s="1">
        <v>-1</v>
      </c>
      <c r="S241" s="1">
        <v>-1</v>
      </c>
      <c r="T241" s="1">
        <v>0</v>
      </c>
      <c r="U241" s="1">
        <v>-1</v>
      </c>
      <c r="V241" s="1">
        <v>-1</v>
      </c>
      <c r="W241" s="1">
        <v>0</v>
      </c>
      <c r="X241" s="1">
        <v>239.17305300000001</v>
      </c>
      <c r="Z241" s="1">
        <v>3427.7721120000001</v>
      </c>
      <c r="AB241" s="1">
        <v>1</v>
      </c>
      <c r="AC241" s="1">
        <v>76099</v>
      </c>
      <c r="AD241" s="1">
        <v>88</v>
      </c>
      <c r="AE241" s="1">
        <v>18303</v>
      </c>
      <c r="AF241" s="1">
        <v>123</v>
      </c>
      <c r="AG241" s="1">
        <v>76099</v>
      </c>
      <c r="AH241" s="1">
        <v>88</v>
      </c>
      <c r="AI241" s="1">
        <v>18303</v>
      </c>
      <c r="AJ241" s="1">
        <v>123</v>
      </c>
      <c r="AK241" s="1">
        <v>412.30599999999998</v>
      </c>
      <c r="AL241" s="1">
        <v>123</v>
      </c>
      <c r="AM241" s="1">
        <v>3.3520810000000001</v>
      </c>
    </row>
    <row r="242" spans="1:39" x14ac:dyDescent="0.3">
      <c r="A242" t="s">
        <v>244</v>
      </c>
      <c r="B242">
        <v>13989.999019999999</v>
      </c>
      <c r="C242">
        <v>7.9898999999999998E-2</v>
      </c>
      <c r="D242">
        <v>0</v>
      </c>
      <c r="E242">
        <v>103992.999</v>
      </c>
      <c r="F242">
        <v>13989.9995</v>
      </c>
      <c r="G242">
        <v>90003</v>
      </c>
      <c r="H242">
        <v>13989.999019999999</v>
      </c>
      <c r="I242">
        <v>1011.126363</v>
      </c>
      <c r="J242">
        <v>2215.8342726666665</v>
      </c>
      <c r="K242">
        <v>1</v>
      </c>
      <c r="L242">
        <f>AVERAGE(K242:K250)</f>
        <v>1</v>
      </c>
      <c r="M242">
        <v>100000</v>
      </c>
      <c r="N242">
        <v>103992.999</v>
      </c>
      <c r="O242">
        <v>1</v>
      </c>
      <c r="P242">
        <v>9</v>
      </c>
      <c r="Q242">
        <v>1</v>
      </c>
      <c r="R242">
        <v>1</v>
      </c>
      <c r="S242">
        <v>0</v>
      </c>
      <c r="T242">
        <v>0</v>
      </c>
      <c r="U242">
        <v>0</v>
      </c>
      <c r="V242">
        <v>-1</v>
      </c>
      <c r="W242">
        <v>1</v>
      </c>
      <c r="X242">
        <v>390.71142800000001</v>
      </c>
      <c r="Y242">
        <v>494.32317544444442</v>
      </c>
      <c r="Z242">
        <v>620.33503599999995</v>
      </c>
      <c r="AA242">
        <v>1721.4489272222224</v>
      </c>
      <c r="AB242">
        <v>1</v>
      </c>
      <c r="AC242">
        <v>9399</v>
      </c>
      <c r="AD242">
        <v>91</v>
      </c>
      <c r="AE242">
        <v>10654</v>
      </c>
      <c r="AF242">
        <v>0</v>
      </c>
      <c r="AG242">
        <v>9399</v>
      </c>
      <c r="AH242">
        <v>91</v>
      </c>
      <c r="AI242">
        <v>10654</v>
      </c>
      <c r="AJ242">
        <v>0</v>
      </c>
      <c r="AK242">
        <v>21.077999999999999</v>
      </c>
      <c r="AL242">
        <v>4</v>
      </c>
      <c r="AM242">
        <v>5.2694999999999999</v>
      </c>
    </row>
    <row r="243" spans="1:39" x14ac:dyDescent="0.3">
      <c r="A243" t="s">
        <v>245</v>
      </c>
      <c r="B243">
        <v>13884.446389999999</v>
      </c>
      <c r="C243">
        <v>7.8711000000000003E-2</v>
      </c>
      <c r="D243">
        <v>0</v>
      </c>
      <c r="E243">
        <v>103887.4464</v>
      </c>
      <c r="F243">
        <v>13884.44663</v>
      </c>
      <c r="G243">
        <v>90003</v>
      </c>
      <c r="H243">
        <v>13884.446389999999</v>
      </c>
      <c r="I243">
        <v>1063.191343</v>
      </c>
      <c r="K243">
        <v>1</v>
      </c>
      <c r="M243">
        <v>100000</v>
      </c>
      <c r="N243">
        <v>103887.4464</v>
      </c>
      <c r="O243">
        <v>1</v>
      </c>
      <c r="Q243">
        <v>1</v>
      </c>
      <c r="R243">
        <v>1</v>
      </c>
      <c r="S243">
        <v>0</v>
      </c>
      <c r="T243">
        <v>0</v>
      </c>
      <c r="U243">
        <v>0</v>
      </c>
      <c r="V243">
        <v>-1</v>
      </c>
      <c r="W243">
        <v>1</v>
      </c>
      <c r="X243">
        <v>485.01256899999998</v>
      </c>
      <c r="Z243">
        <v>578.10006299999998</v>
      </c>
      <c r="AB243">
        <v>1</v>
      </c>
      <c r="AC243">
        <v>2626</v>
      </c>
      <c r="AD243">
        <v>68</v>
      </c>
      <c r="AE243">
        <v>5123</v>
      </c>
      <c r="AF243">
        <v>2</v>
      </c>
      <c r="AG243">
        <v>2626</v>
      </c>
      <c r="AH243">
        <v>68</v>
      </c>
      <c r="AI243">
        <v>5123</v>
      </c>
      <c r="AJ243">
        <v>2</v>
      </c>
      <c r="AK243">
        <v>15.847</v>
      </c>
      <c r="AL243">
        <v>3</v>
      </c>
      <c r="AM243">
        <v>5.2823330000000004</v>
      </c>
    </row>
    <row r="244" spans="1:39" x14ac:dyDescent="0.3">
      <c r="A244" t="s">
        <v>246</v>
      </c>
      <c r="B244">
        <v>13932.22206</v>
      </c>
      <c r="C244">
        <v>4.4095000000000002E-2</v>
      </c>
      <c r="D244">
        <v>0</v>
      </c>
      <c r="E244">
        <v>103934.2221</v>
      </c>
      <c r="F244">
        <v>13932.22199</v>
      </c>
      <c r="G244">
        <v>90002</v>
      </c>
      <c r="H244">
        <v>13932.22206</v>
      </c>
      <c r="I244">
        <v>1340.7378659999999</v>
      </c>
      <c r="K244">
        <v>1</v>
      </c>
      <c r="M244">
        <v>100000</v>
      </c>
      <c r="N244">
        <v>103934.2221</v>
      </c>
      <c r="O244">
        <v>1</v>
      </c>
      <c r="Q244">
        <v>1</v>
      </c>
      <c r="R244">
        <v>1</v>
      </c>
      <c r="S244">
        <v>0</v>
      </c>
      <c r="T244">
        <v>0</v>
      </c>
      <c r="U244">
        <v>0</v>
      </c>
      <c r="V244">
        <v>-1</v>
      </c>
      <c r="W244">
        <v>1</v>
      </c>
      <c r="X244">
        <v>663.57840999999996</v>
      </c>
      <c r="Z244">
        <v>677.11536100000001</v>
      </c>
      <c r="AB244">
        <v>1</v>
      </c>
      <c r="AC244">
        <v>10005</v>
      </c>
      <c r="AD244">
        <v>76</v>
      </c>
      <c r="AE244">
        <v>12107</v>
      </c>
      <c r="AF244">
        <v>31</v>
      </c>
      <c r="AG244">
        <v>10005</v>
      </c>
      <c r="AH244">
        <v>76</v>
      </c>
      <c r="AI244">
        <v>12107</v>
      </c>
      <c r="AJ244">
        <v>31</v>
      </c>
      <c r="AK244">
        <v>106.697</v>
      </c>
      <c r="AL244">
        <v>34</v>
      </c>
      <c r="AM244">
        <v>3.138147</v>
      </c>
    </row>
    <row r="245" spans="1:39" x14ac:dyDescent="0.3">
      <c r="A245" t="s">
        <v>247</v>
      </c>
      <c r="B245">
        <v>13874.445110000001</v>
      </c>
      <c r="C245">
        <v>5.3287000000000001E-2</v>
      </c>
      <c r="D245">
        <v>0</v>
      </c>
      <c r="E245">
        <v>103876.4451</v>
      </c>
      <c r="F245">
        <v>13874.4455</v>
      </c>
      <c r="G245">
        <v>90002</v>
      </c>
      <c r="H245">
        <v>13874.445110000001</v>
      </c>
      <c r="I245">
        <v>2133.6159929999999</v>
      </c>
      <c r="K245">
        <v>1</v>
      </c>
      <c r="M245">
        <v>100000</v>
      </c>
      <c r="N245">
        <v>103876.4451</v>
      </c>
      <c r="O245">
        <v>1</v>
      </c>
      <c r="Q245">
        <v>1</v>
      </c>
      <c r="R245">
        <v>1</v>
      </c>
      <c r="S245">
        <v>0</v>
      </c>
      <c r="T245">
        <v>0</v>
      </c>
      <c r="U245">
        <v>0</v>
      </c>
      <c r="V245">
        <v>-1</v>
      </c>
      <c r="W245">
        <v>1</v>
      </c>
      <c r="X245">
        <v>258.58911000000001</v>
      </c>
      <c r="Z245">
        <v>1874.973596</v>
      </c>
      <c r="AB245">
        <v>1</v>
      </c>
      <c r="AC245">
        <v>15750</v>
      </c>
      <c r="AD245">
        <v>106</v>
      </c>
      <c r="AE245">
        <v>22528</v>
      </c>
      <c r="AF245">
        <v>39</v>
      </c>
      <c r="AG245">
        <v>15750</v>
      </c>
      <c r="AH245">
        <v>106</v>
      </c>
      <c r="AI245">
        <v>22528</v>
      </c>
      <c r="AJ245">
        <v>39</v>
      </c>
      <c r="AK245">
        <v>132.137</v>
      </c>
      <c r="AL245">
        <v>42</v>
      </c>
      <c r="AM245">
        <v>3.1461190000000001</v>
      </c>
    </row>
    <row r="246" spans="1:39" x14ac:dyDescent="0.3">
      <c r="A246" t="s">
        <v>299</v>
      </c>
      <c r="B246">
        <v>13902.22206</v>
      </c>
      <c r="C246">
        <v>8.0477000000000007E-2</v>
      </c>
      <c r="D246">
        <v>0</v>
      </c>
      <c r="E246">
        <v>103903.2221</v>
      </c>
      <c r="F246">
        <v>13902.222449999999</v>
      </c>
      <c r="G246">
        <v>90001</v>
      </c>
      <c r="H246">
        <v>13902.22206</v>
      </c>
      <c r="I246">
        <v>2508.0260520000002</v>
      </c>
      <c r="K246">
        <v>1</v>
      </c>
      <c r="M246">
        <v>100000</v>
      </c>
      <c r="N246">
        <v>103903.2221</v>
      </c>
      <c r="O246">
        <v>1</v>
      </c>
      <c r="Q246">
        <v>1</v>
      </c>
      <c r="R246">
        <v>1</v>
      </c>
      <c r="S246">
        <v>0</v>
      </c>
      <c r="T246">
        <v>0</v>
      </c>
      <c r="U246">
        <v>0</v>
      </c>
      <c r="V246">
        <v>-1</v>
      </c>
      <c r="W246">
        <v>1</v>
      </c>
      <c r="X246">
        <v>533.77058299999999</v>
      </c>
      <c r="Z246">
        <v>1974.174992</v>
      </c>
      <c r="AB246">
        <v>1</v>
      </c>
      <c r="AC246">
        <v>15415</v>
      </c>
      <c r="AD246">
        <v>95</v>
      </c>
      <c r="AE246">
        <v>13368</v>
      </c>
      <c r="AF246">
        <v>15</v>
      </c>
      <c r="AG246">
        <v>15415</v>
      </c>
      <c r="AH246">
        <v>95</v>
      </c>
      <c r="AI246">
        <v>13368</v>
      </c>
      <c r="AJ246">
        <v>15</v>
      </c>
      <c r="AK246">
        <v>85.361999999999995</v>
      </c>
      <c r="AL246">
        <v>16</v>
      </c>
      <c r="AM246">
        <v>5.3351249999999997</v>
      </c>
    </row>
    <row r="247" spans="1:39" x14ac:dyDescent="0.3">
      <c r="A247" t="s">
        <v>248</v>
      </c>
      <c r="B247">
        <v>13839.99994</v>
      </c>
      <c r="C247">
        <v>6.0900999999999997E-2</v>
      </c>
      <c r="D247">
        <v>0</v>
      </c>
      <c r="E247">
        <v>103841.9999</v>
      </c>
      <c r="F247">
        <v>13840.00101</v>
      </c>
      <c r="G247">
        <v>90002</v>
      </c>
      <c r="H247">
        <v>13839.99994</v>
      </c>
      <c r="I247">
        <v>2462.9893149999998</v>
      </c>
      <c r="K247">
        <v>1</v>
      </c>
      <c r="M247">
        <v>100000</v>
      </c>
      <c r="N247">
        <v>103841.9999</v>
      </c>
      <c r="O247">
        <v>1</v>
      </c>
      <c r="Q247">
        <v>1</v>
      </c>
      <c r="R247">
        <v>1</v>
      </c>
      <c r="S247">
        <v>0</v>
      </c>
      <c r="T247">
        <v>0</v>
      </c>
      <c r="U247">
        <v>0</v>
      </c>
      <c r="V247">
        <v>-1</v>
      </c>
      <c r="W247">
        <v>1</v>
      </c>
      <c r="X247">
        <v>631.34809499999994</v>
      </c>
      <c r="Z247">
        <v>1831.5803189999999</v>
      </c>
      <c r="AB247">
        <v>1</v>
      </c>
      <c r="AC247">
        <v>24444</v>
      </c>
      <c r="AD247">
        <v>96</v>
      </c>
      <c r="AE247">
        <v>19508</v>
      </c>
      <c r="AF247">
        <v>17</v>
      </c>
      <c r="AG247">
        <v>24444</v>
      </c>
      <c r="AH247">
        <v>96</v>
      </c>
      <c r="AI247">
        <v>19508</v>
      </c>
      <c r="AJ247">
        <v>17</v>
      </c>
      <c r="AK247">
        <v>95.884</v>
      </c>
      <c r="AL247">
        <v>18</v>
      </c>
      <c r="AM247">
        <v>5.3268890000000004</v>
      </c>
    </row>
    <row r="248" spans="1:39" x14ac:dyDescent="0.3">
      <c r="A248" t="s">
        <v>249</v>
      </c>
      <c r="B248">
        <v>13830.00052</v>
      </c>
      <c r="C248">
        <v>4.1376000000000003E-2</v>
      </c>
      <c r="D248">
        <v>0</v>
      </c>
      <c r="E248">
        <v>103832.00049999999</v>
      </c>
      <c r="F248">
        <v>13830.00051</v>
      </c>
      <c r="G248">
        <v>90002</v>
      </c>
      <c r="H248">
        <v>13830.00052</v>
      </c>
      <c r="I248">
        <v>2712.4076990000003</v>
      </c>
      <c r="K248">
        <v>1</v>
      </c>
      <c r="M248">
        <v>100000</v>
      </c>
      <c r="N248">
        <v>103832.00049999999</v>
      </c>
      <c r="O248">
        <v>1</v>
      </c>
      <c r="Q248">
        <v>1</v>
      </c>
      <c r="R248">
        <v>1</v>
      </c>
      <c r="S248">
        <v>0</v>
      </c>
      <c r="T248">
        <v>0</v>
      </c>
      <c r="U248">
        <v>0</v>
      </c>
      <c r="V248">
        <v>-1</v>
      </c>
      <c r="W248">
        <v>1</v>
      </c>
      <c r="X248">
        <v>469.320291</v>
      </c>
      <c r="Z248">
        <v>2243.0460320000002</v>
      </c>
      <c r="AB248">
        <v>1</v>
      </c>
      <c r="AC248">
        <v>7289</v>
      </c>
      <c r="AD248">
        <v>97</v>
      </c>
      <c r="AE248">
        <v>12977</v>
      </c>
      <c r="AF248">
        <v>489</v>
      </c>
      <c r="AG248">
        <v>7289</v>
      </c>
      <c r="AH248">
        <v>97</v>
      </c>
      <c r="AI248">
        <v>12977</v>
      </c>
      <c r="AJ248">
        <v>489</v>
      </c>
      <c r="AK248">
        <v>1535.2070000000001</v>
      </c>
      <c r="AL248">
        <v>490</v>
      </c>
      <c r="AM248">
        <v>3.133076</v>
      </c>
    </row>
    <row r="249" spans="1:39" x14ac:dyDescent="0.3">
      <c r="A249" t="s">
        <v>250</v>
      </c>
      <c r="B249">
        <v>13582.220230000001</v>
      </c>
      <c r="C249">
        <v>5.7500999999999997E-2</v>
      </c>
      <c r="D249">
        <v>0</v>
      </c>
      <c r="E249">
        <v>103584.2202</v>
      </c>
      <c r="F249">
        <v>13582.22071</v>
      </c>
      <c r="G249">
        <v>90002</v>
      </c>
      <c r="H249">
        <v>13582.220230000001</v>
      </c>
      <c r="I249">
        <v>3134.2600030000003</v>
      </c>
      <c r="K249">
        <v>1</v>
      </c>
      <c r="M249">
        <v>100000</v>
      </c>
      <c r="N249">
        <v>103584.2202</v>
      </c>
      <c r="O249">
        <v>1</v>
      </c>
      <c r="Q249">
        <v>1</v>
      </c>
      <c r="R249">
        <v>1</v>
      </c>
      <c r="S249">
        <v>0</v>
      </c>
      <c r="T249">
        <v>0</v>
      </c>
      <c r="U249">
        <v>0</v>
      </c>
      <c r="V249">
        <v>-1</v>
      </c>
      <c r="W249">
        <v>1</v>
      </c>
      <c r="X249">
        <v>450.09464300000002</v>
      </c>
      <c r="Z249">
        <v>2684.1078590000002</v>
      </c>
      <c r="AB249">
        <v>1</v>
      </c>
      <c r="AC249">
        <v>11202</v>
      </c>
      <c r="AD249">
        <v>98</v>
      </c>
      <c r="AE249">
        <v>11987</v>
      </c>
      <c r="AF249">
        <v>352</v>
      </c>
      <c r="AG249">
        <v>11202</v>
      </c>
      <c r="AH249">
        <v>98</v>
      </c>
      <c r="AI249">
        <v>11987</v>
      </c>
      <c r="AJ249">
        <v>352</v>
      </c>
      <c r="AK249">
        <v>1869.5909999999999</v>
      </c>
      <c r="AL249">
        <v>353</v>
      </c>
      <c r="AM249">
        <v>5.2962920000000002</v>
      </c>
    </row>
    <row r="250" spans="1:39" s="4" customFormat="1" x14ac:dyDescent="0.3">
      <c r="A250" s="4" t="s">
        <v>251</v>
      </c>
      <c r="B250" s="4">
        <v>13763.331120000001</v>
      </c>
      <c r="C250" s="4">
        <v>6.3283000000000006E-2</v>
      </c>
      <c r="D250" s="4">
        <v>0</v>
      </c>
      <c r="E250" s="4">
        <v>103765.3311</v>
      </c>
      <c r="F250" s="4">
        <v>13763.33246</v>
      </c>
      <c r="G250" s="4">
        <v>90002</v>
      </c>
      <c r="H250" s="4">
        <v>13763.331120000001</v>
      </c>
      <c r="I250" s="4">
        <v>3576.1538199999995</v>
      </c>
      <c r="K250" s="4">
        <v>1</v>
      </c>
      <c r="M250" s="4">
        <v>100000</v>
      </c>
      <c r="N250" s="4">
        <v>103765.3311</v>
      </c>
      <c r="O250" s="4">
        <v>1</v>
      </c>
      <c r="Q250" s="4">
        <v>1</v>
      </c>
      <c r="R250" s="4">
        <v>1</v>
      </c>
      <c r="S250" s="4">
        <v>0</v>
      </c>
      <c r="T250" s="4">
        <v>0</v>
      </c>
      <c r="U250" s="4">
        <v>0</v>
      </c>
      <c r="V250" s="4">
        <v>-1</v>
      </c>
      <c r="W250" s="4">
        <v>1</v>
      </c>
      <c r="X250" s="4">
        <v>566.48344999999995</v>
      </c>
      <c r="Z250" s="4">
        <v>3009.6070869999999</v>
      </c>
      <c r="AB250" s="4">
        <v>1</v>
      </c>
      <c r="AC250" s="4">
        <v>10571</v>
      </c>
      <c r="AD250" s="4">
        <v>104</v>
      </c>
      <c r="AE250" s="4">
        <v>19427</v>
      </c>
      <c r="AF250" s="4">
        <v>159</v>
      </c>
      <c r="AG250" s="4">
        <v>10571</v>
      </c>
      <c r="AH250" s="4">
        <v>104</v>
      </c>
      <c r="AI250" s="4">
        <v>19427</v>
      </c>
      <c r="AJ250" s="4">
        <v>159</v>
      </c>
      <c r="AK250" s="4">
        <v>892.08399999999995</v>
      </c>
      <c r="AL250" s="4">
        <v>165</v>
      </c>
      <c r="AM250" s="4">
        <v>5.4065700000000003</v>
      </c>
    </row>
    <row r="251" spans="1:39" x14ac:dyDescent="0.3">
      <c r="A251" t="s">
        <v>252</v>
      </c>
      <c r="B251">
        <v>13897.778029999999</v>
      </c>
      <c r="C251">
        <v>6.2968999999999997E-2</v>
      </c>
      <c r="D251">
        <v>0</v>
      </c>
      <c r="E251">
        <v>-1</v>
      </c>
      <c r="F251">
        <v>-1</v>
      </c>
      <c r="G251">
        <v>-1</v>
      </c>
      <c r="H251">
        <v>0</v>
      </c>
      <c r="I251">
        <v>3600.0884289999999</v>
      </c>
      <c r="K251">
        <v>1</v>
      </c>
      <c r="M251">
        <v>100000</v>
      </c>
      <c r="N251">
        <v>1E-3</v>
      </c>
      <c r="O251">
        <v>-1</v>
      </c>
      <c r="Q251">
        <v>-1</v>
      </c>
      <c r="R251">
        <v>-1</v>
      </c>
      <c r="S251">
        <v>-1</v>
      </c>
      <c r="T251">
        <v>8.7804999999999994E-2</v>
      </c>
      <c r="U251">
        <v>-1</v>
      </c>
      <c r="V251">
        <v>-1</v>
      </c>
      <c r="W251">
        <v>0</v>
      </c>
      <c r="X251">
        <v>3600.0254599999998</v>
      </c>
      <c r="Z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</row>
    <row r="252" spans="1:39" x14ac:dyDescent="0.3">
      <c r="A252" t="s">
        <v>253</v>
      </c>
      <c r="B252">
        <v>14817.780140000001</v>
      </c>
      <c r="C252">
        <v>4.0411000000000002E-2</v>
      </c>
      <c r="D252">
        <v>0</v>
      </c>
      <c r="E252">
        <v>-1</v>
      </c>
      <c r="F252">
        <v>-1</v>
      </c>
      <c r="G252">
        <v>-1</v>
      </c>
      <c r="H252">
        <v>0</v>
      </c>
      <c r="I252">
        <v>3600.0222680000002</v>
      </c>
      <c r="K252">
        <v>1</v>
      </c>
      <c r="M252">
        <v>100000</v>
      </c>
      <c r="N252">
        <v>1E-3</v>
      </c>
      <c r="O252">
        <v>-1</v>
      </c>
      <c r="Q252">
        <v>-1</v>
      </c>
      <c r="R252">
        <v>-1</v>
      </c>
      <c r="S252">
        <v>-1</v>
      </c>
      <c r="T252">
        <v>8.7094000000000005E-2</v>
      </c>
      <c r="U252">
        <v>-1</v>
      </c>
      <c r="V252">
        <v>-1</v>
      </c>
      <c r="W252">
        <v>0</v>
      </c>
      <c r="X252">
        <v>3599.9818570000002</v>
      </c>
      <c r="Z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</row>
    <row r="253" spans="1:39" x14ac:dyDescent="0.3">
      <c r="A253" t="s">
        <v>254</v>
      </c>
      <c r="B253">
        <v>13884.446389999999</v>
      </c>
      <c r="C253">
        <v>6.6617999999999997E-2</v>
      </c>
      <c r="D253">
        <v>0</v>
      </c>
      <c r="E253">
        <v>-1</v>
      </c>
      <c r="F253">
        <v>-1</v>
      </c>
      <c r="G253">
        <v>-1</v>
      </c>
      <c r="H253">
        <v>0</v>
      </c>
      <c r="I253">
        <v>3600.2283269999998</v>
      </c>
      <c r="K253">
        <v>1</v>
      </c>
      <c r="M253">
        <v>100000</v>
      </c>
      <c r="N253">
        <v>1E-3</v>
      </c>
      <c r="O253">
        <v>-1</v>
      </c>
      <c r="Q253">
        <v>-1</v>
      </c>
      <c r="R253">
        <v>-1</v>
      </c>
      <c r="S253">
        <v>-1</v>
      </c>
      <c r="T253">
        <v>8.7816000000000005E-2</v>
      </c>
      <c r="U253">
        <v>-1</v>
      </c>
      <c r="V253">
        <v>-1</v>
      </c>
      <c r="W253">
        <v>0</v>
      </c>
      <c r="X253">
        <v>3600.161709</v>
      </c>
      <c r="Z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</row>
    <row r="254" spans="1:39" x14ac:dyDescent="0.3">
      <c r="A254" t="s">
        <v>255</v>
      </c>
      <c r="B254">
        <v>13238.887849999999</v>
      </c>
      <c r="C254">
        <v>5.9657000000000002E-2</v>
      </c>
      <c r="D254">
        <v>0</v>
      </c>
      <c r="E254">
        <v>-1</v>
      </c>
      <c r="F254">
        <v>-1</v>
      </c>
      <c r="G254">
        <v>-1</v>
      </c>
      <c r="H254">
        <v>0</v>
      </c>
      <c r="I254">
        <v>3600.0811709999998</v>
      </c>
      <c r="K254">
        <v>1</v>
      </c>
      <c r="M254">
        <v>100000</v>
      </c>
      <c r="N254">
        <v>1E-3</v>
      </c>
      <c r="O254">
        <v>-1</v>
      </c>
      <c r="Q254">
        <v>-1</v>
      </c>
      <c r="R254">
        <v>-1</v>
      </c>
      <c r="S254">
        <v>-1</v>
      </c>
      <c r="T254">
        <v>0.10377</v>
      </c>
      <c r="U254">
        <v>-1</v>
      </c>
      <c r="V254">
        <v>-1</v>
      </c>
      <c r="W254">
        <v>0</v>
      </c>
      <c r="X254">
        <v>3600.021514</v>
      </c>
      <c r="Z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</row>
    <row r="255" spans="1:39" x14ac:dyDescent="0.3">
      <c r="A255" t="s">
        <v>256</v>
      </c>
      <c r="B255">
        <v>13238.887849999999</v>
      </c>
      <c r="C255">
        <v>3.8746999999999997E-2</v>
      </c>
      <c r="D255">
        <v>0</v>
      </c>
      <c r="E255">
        <v>103241.8879</v>
      </c>
      <c r="F255">
        <v>-1</v>
      </c>
      <c r="G255">
        <v>90003</v>
      </c>
      <c r="H255">
        <v>13238.887849999999</v>
      </c>
      <c r="I255">
        <v>3600.2389910000002</v>
      </c>
      <c r="K255">
        <v>1</v>
      </c>
      <c r="M255">
        <v>100000</v>
      </c>
      <c r="N255">
        <v>103241.8879</v>
      </c>
      <c r="O255">
        <v>-1</v>
      </c>
      <c r="Q255">
        <v>1</v>
      </c>
      <c r="R255">
        <v>-1</v>
      </c>
      <c r="S255">
        <v>-1</v>
      </c>
      <c r="T255">
        <v>0</v>
      </c>
      <c r="U255">
        <v>-1</v>
      </c>
      <c r="V255">
        <v>-1</v>
      </c>
      <c r="W255">
        <v>0</v>
      </c>
      <c r="X255">
        <v>446.63770199999999</v>
      </c>
      <c r="Z255">
        <v>3153.5625420000001</v>
      </c>
      <c r="AB255">
        <v>1</v>
      </c>
      <c r="AC255">
        <v>29021</v>
      </c>
      <c r="AD255">
        <v>93</v>
      </c>
      <c r="AE255">
        <v>13658</v>
      </c>
      <c r="AF255">
        <v>328</v>
      </c>
      <c r="AG255">
        <v>29021</v>
      </c>
      <c r="AH255">
        <v>93</v>
      </c>
      <c r="AI255">
        <v>13658</v>
      </c>
      <c r="AJ255">
        <v>328</v>
      </c>
      <c r="AK255">
        <v>1030.95</v>
      </c>
      <c r="AL255">
        <v>328</v>
      </c>
      <c r="AM255">
        <v>3.1431399999999998</v>
      </c>
    </row>
    <row r="256" spans="1:39" x14ac:dyDescent="0.3">
      <c r="A256" t="s">
        <v>257</v>
      </c>
      <c r="B256">
        <v>14999.985280000001</v>
      </c>
      <c r="C256">
        <v>4.147E-2</v>
      </c>
      <c r="D256">
        <v>0</v>
      </c>
      <c r="E256">
        <v>105001.9853</v>
      </c>
      <c r="F256">
        <v>-1</v>
      </c>
      <c r="G256">
        <v>90002</v>
      </c>
      <c r="H256">
        <v>14999.985280000001</v>
      </c>
      <c r="I256">
        <v>3600.869627</v>
      </c>
      <c r="K256">
        <v>1</v>
      </c>
      <c r="M256">
        <v>100000</v>
      </c>
      <c r="N256">
        <v>105001.9853</v>
      </c>
      <c r="O256">
        <v>-1</v>
      </c>
      <c r="Q256">
        <v>1</v>
      </c>
      <c r="R256">
        <v>-1</v>
      </c>
      <c r="S256">
        <v>-1</v>
      </c>
      <c r="T256">
        <v>0</v>
      </c>
      <c r="U256">
        <v>-1</v>
      </c>
      <c r="V256">
        <v>-1</v>
      </c>
      <c r="W256">
        <v>0</v>
      </c>
      <c r="X256">
        <v>1361.6107019999999</v>
      </c>
      <c r="Z256">
        <v>2239.217455</v>
      </c>
      <c r="AB256">
        <v>1</v>
      </c>
      <c r="AC256">
        <v>32706</v>
      </c>
      <c r="AD256">
        <v>86</v>
      </c>
      <c r="AE256">
        <v>6505</v>
      </c>
      <c r="AF256">
        <v>0</v>
      </c>
      <c r="AG256">
        <v>32706</v>
      </c>
      <c r="AH256">
        <v>86</v>
      </c>
      <c r="AI256">
        <v>6505</v>
      </c>
      <c r="AJ256">
        <v>0</v>
      </c>
      <c r="AK256">
        <v>0</v>
      </c>
      <c r="AL256">
        <v>0</v>
      </c>
      <c r="AM256">
        <v>0</v>
      </c>
    </row>
    <row r="257" spans="1:39" x14ac:dyDescent="0.3">
      <c r="A257" t="s">
        <v>300</v>
      </c>
      <c r="B257">
        <v>13889.99919</v>
      </c>
      <c r="C257">
        <v>7.5462000000000001E-2</v>
      </c>
      <c r="D257">
        <v>0</v>
      </c>
      <c r="E257">
        <v>103893.99920000001</v>
      </c>
      <c r="F257">
        <v>-1</v>
      </c>
      <c r="G257">
        <v>90004</v>
      </c>
      <c r="H257">
        <v>13889.99919</v>
      </c>
      <c r="I257">
        <v>3622.419785</v>
      </c>
      <c r="K257">
        <v>1</v>
      </c>
      <c r="M257">
        <v>100000</v>
      </c>
      <c r="N257">
        <v>103893.99920000001</v>
      </c>
      <c r="O257">
        <v>-1</v>
      </c>
      <c r="Q257">
        <v>1</v>
      </c>
      <c r="R257">
        <v>-1</v>
      </c>
      <c r="S257">
        <v>-1</v>
      </c>
      <c r="T257">
        <v>0</v>
      </c>
      <c r="U257">
        <v>-1</v>
      </c>
      <c r="V257">
        <v>-1</v>
      </c>
      <c r="W257">
        <v>0</v>
      </c>
      <c r="X257">
        <v>407.35187300000001</v>
      </c>
      <c r="Z257">
        <v>3214.9924500000002</v>
      </c>
      <c r="AB257">
        <v>1</v>
      </c>
      <c r="AC257">
        <v>14498</v>
      </c>
      <c r="AD257">
        <v>100</v>
      </c>
      <c r="AE257">
        <v>10100</v>
      </c>
      <c r="AF257">
        <v>210</v>
      </c>
      <c r="AG257">
        <v>14498</v>
      </c>
      <c r="AH257">
        <v>100</v>
      </c>
      <c r="AI257">
        <v>10100</v>
      </c>
      <c r="AJ257">
        <v>210</v>
      </c>
      <c r="AK257">
        <v>1113.0999999999999</v>
      </c>
      <c r="AL257">
        <v>210</v>
      </c>
      <c r="AM257">
        <v>5.3004759999999997</v>
      </c>
    </row>
    <row r="258" spans="1:39" x14ac:dyDescent="0.3">
      <c r="A258" t="s">
        <v>301</v>
      </c>
      <c r="B258">
        <v>13952.223470000001</v>
      </c>
      <c r="C258">
        <v>5.7925999999999998E-2</v>
      </c>
      <c r="D258">
        <v>0</v>
      </c>
      <c r="E258">
        <v>-1</v>
      </c>
      <c r="F258">
        <v>-1</v>
      </c>
      <c r="G258">
        <v>-1</v>
      </c>
      <c r="H258">
        <v>0</v>
      </c>
      <c r="I258">
        <v>3600.061647</v>
      </c>
      <c r="K258">
        <v>1</v>
      </c>
      <c r="M258">
        <v>100000</v>
      </c>
      <c r="N258">
        <v>1E-3</v>
      </c>
      <c r="O258">
        <v>-1</v>
      </c>
      <c r="Q258">
        <v>-1</v>
      </c>
      <c r="R258">
        <v>-1</v>
      </c>
      <c r="S258">
        <v>-1</v>
      </c>
      <c r="T258">
        <v>8.7762999999999994E-2</v>
      </c>
      <c r="U258">
        <v>-1</v>
      </c>
      <c r="V258">
        <v>-1</v>
      </c>
      <c r="W258">
        <v>0</v>
      </c>
      <c r="X258">
        <v>3600.003721</v>
      </c>
      <c r="Z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</row>
    <row r="259" spans="1:39" x14ac:dyDescent="0.3">
      <c r="A259" t="s">
        <v>302</v>
      </c>
      <c r="B259">
        <v>13390.000400000001</v>
      </c>
      <c r="C259">
        <v>7.1929999999999994E-2</v>
      </c>
      <c r="D259">
        <v>0</v>
      </c>
      <c r="E259">
        <v>-1</v>
      </c>
      <c r="F259">
        <v>-1</v>
      </c>
      <c r="G259">
        <v>-1</v>
      </c>
      <c r="H259">
        <v>0</v>
      </c>
      <c r="I259">
        <v>3600.0525780000003</v>
      </c>
      <c r="K259">
        <v>1</v>
      </c>
      <c r="M259">
        <v>100000</v>
      </c>
      <c r="N259">
        <v>1E-3</v>
      </c>
      <c r="O259">
        <v>-1</v>
      </c>
      <c r="Q259">
        <v>-1</v>
      </c>
      <c r="R259">
        <v>-1</v>
      </c>
      <c r="S259">
        <v>-1</v>
      </c>
      <c r="T259">
        <v>8.8190000000000004E-2</v>
      </c>
      <c r="U259">
        <v>-1</v>
      </c>
      <c r="V259">
        <v>-1</v>
      </c>
      <c r="W259">
        <v>0</v>
      </c>
      <c r="X259">
        <v>3599.9806480000002</v>
      </c>
      <c r="Z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</row>
    <row r="260" spans="1:39" x14ac:dyDescent="0.3">
      <c r="A260" t="s">
        <v>303</v>
      </c>
      <c r="B260">
        <v>13872.224620000001</v>
      </c>
      <c r="C260">
        <v>7.5653999999999999E-2</v>
      </c>
      <c r="D260">
        <v>0</v>
      </c>
      <c r="E260">
        <v>103874.2246</v>
      </c>
      <c r="F260">
        <v>-1</v>
      </c>
      <c r="G260">
        <v>90002</v>
      </c>
      <c r="H260">
        <v>13872.224620000001</v>
      </c>
      <c r="I260">
        <v>3689.2812409999997</v>
      </c>
      <c r="K260">
        <v>1</v>
      </c>
      <c r="M260">
        <v>100000</v>
      </c>
      <c r="N260">
        <v>103874.2246</v>
      </c>
      <c r="O260">
        <v>-1</v>
      </c>
      <c r="Q260">
        <v>1</v>
      </c>
      <c r="R260">
        <v>-1</v>
      </c>
      <c r="S260">
        <v>-1</v>
      </c>
      <c r="T260">
        <v>0</v>
      </c>
      <c r="U260">
        <v>-1</v>
      </c>
      <c r="V260">
        <v>-1</v>
      </c>
      <c r="W260">
        <v>0</v>
      </c>
      <c r="X260">
        <v>436.81246499999997</v>
      </c>
      <c r="Z260">
        <v>3252.3931219999999</v>
      </c>
      <c r="AB260">
        <v>1</v>
      </c>
      <c r="AC260">
        <v>42540</v>
      </c>
      <c r="AD260">
        <v>85</v>
      </c>
      <c r="AE260">
        <v>4699</v>
      </c>
      <c r="AF260">
        <v>266</v>
      </c>
      <c r="AG260">
        <v>42540</v>
      </c>
      <c r="AH260">
        <v>85</v>
      </c>
      <c r="AI260">
        <v>4699</v>
      </c>
      <c r="AJ260">
        <v>266</v>
      </c>
      <c r="AK260">
        <v>1468.6510000000001</v>
      </c>
      <c r="AL260">
        <v>266</v>
      </c>
      <c r="AM260">
        <v>5.5212440000000003</v>
      </c>
    </row>
    <row r="261" spans="1:39" x14ac:dyDescent="0.3">
      <c r="A261" t="s">
        <v>270</v>
      </c>
      <c r="B261">
        <v>13622.22236</v>
      </c>
      <c r="C261">
        <v>7.7743000000000007E-2</v>
      </c>
      <c r="D261">
        <v>0</v>
      </c>
      <c r="E261">
        <v>103624.2224</v>
      </c>
      <c r="F261">
        <v>-1</v>
      </c>
      <c r="G261">
        <v>90002</v>
      </c>
      <c r="H261">
        <v>13622.22236</v>
      </c>
      <c r="I261">
        <v>4040.7999279999999</v>
      </c>
      <c r="K261">
        <v>1</v>
      </c>
      <c r="M261">
        <v>100000</v>
      </c>
      <c r="N261">
        <v>103624.2224</v>
      </c>
      <c r="O261">
        <v>-1</v>
      </c>
      <c r="Q261">
        <v>1</v>
      </c>
      <c r="R261">
        <v>-1</v>
      </c>
      <c r="S261">
        <v>-1</v>
      </c>
      <c r="T261">
        <v>0</v>
      </c>
      <c r="U261">
        <v>-1</v>
      </c>
      <c r="V261">
        <v>-1</v>
      </c>
      <c r="W261">
        <v>0</v>
      </c>
      <c r="X261">
        <v>640.59104100000002</v>
      </c>
      <c r="Z261">
        <v>3400.1311439999999</v>
      </c>
      <c r="AB261">
        <v>1</v>
      </c>
      <c r="AC261">
        <v>11566</v>
      </c>
      <c r="AD261">
        <v>50</v>
      </c>
      <c r="AE261">
        <v>1661</v>
      </c>
      <c r="AF261">
        <v>515</v>
      </c>
      <c r="AG261">
        <v>11566</v>
      </c>
      <c r="AH261">
        <v>50</v>
      </c>
      <c r="AI261">
        <v>1661</v>
      </c>
      <c r="AJ261">
        <v>515</v>
      </c>
      <c r="AK261">
        <v>2761.1010000000001</v>
      </c>
      <c r="AL261">
        <v>515</v>
      </c>
      <c r="AM261">
        <v>5.3613609999999996</v>
      </c>
    </row>
    <row r="262" spans="1:39" x14ac:dyDescent="0.3">
      <c r="A262" t="s">
        <v>258</v>
      </c>
      <c r="B262">
        <v>13850.001819999999</v>
      </c>
      <c r="C262">
        <v>0.17045299999999999</v>
      </c>
      <c r="D262">
        <v>0</v>
      </c>
      <c r="E262">
        <v>-1</v>
      </c>
      <c r="F262">
        <v>-1</v>
      </c>
      <c r="G262">
        <v>-1</v>
      </c>
      <c r="H262">
        <v>0</v>
      </c>
      <c r="I262">
        <v>3600.1645320000002</v>
      </c>
      <c r="K262">
        <v>1</v>
      </c>
      <c r="M262">
        <v>100000</v>
      </c>
      <c r="N262">
        <v>1E-3</v>
      </c>
      <c r="O262">
        <v>-1</v>
      </c>
      <c r="Q262">
        <v>-1</v>
      </c>
      <c r="R262">
        <v>-1</v>
      </c>
      <c r="S262">
        <v>-1</v>
      </c>
      <c r="T262">
        <v>8.7833999999999995E-2</v>
      </c>
      <c r="U262">
        <v>-1</v>
      </c>
      <c r="V262">
        <v>-1</v>
      </c>
      <c r="W262">
        <v>0</v>
      </c>
      <c r="X262">
        <v>3599.9940790000001</v>
      </c>
      <c r="Z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</row>
    <row r="263" spans="1:39" x14ac:dyDescent="0.3">
      <c r="A263" t="s">
        <v>259</v>
      </c>
      <c r="B263">
        <v>13989.999019999999</v>
      </c>
      <c r="C263">
        <v>8.5218000000000002E-2</v>
      </c>
      <c r="D263">
        <v>0</v>
      </c>
      <c r="E263">
        <v>103993.999</v>
      </c>
      <c r="F263">
        <v>-1</v>
      </c>
      <c r="G263">
        <v>90004</v>
      </c>
      <c r="H263">
        <v>13989.999019999999</v>
      </c>
      <c r="I263">
        <v>3600.4841920000003</v>
      </c>
      <c r="K263">
        <v>1</v>
      </c>
      <c r="M263">
        <v>100000</v>
      </c>
      <c r="N263">
        <v>103993.999</v>
      </c>
      <c r="O263">
        <v>-1</v>
      </c>
      <c r="Q263">
        <v>1</v>
      </c>
      <c r="R263">
        <v>-1</v>
      </c>
      <c r="S263">
        <v>-1</v>
      </c>
      <c r="T263">
        <v>0</v>
      </c>
      <c r="U263">
        <v>-1</v>
      </c>
      <c r="V263">
        <v>-1</v>
      </c>
      <c r="W263">
        <v>0</v>
      </c>
      <c r="X263">
        <v>2940.293357</v>
      </c>
      <c r="Z263">
        <v>660.10561700000005</v>
      </c>
      <c r="AB263">
        <v>1</v>
      </c>
      <c r="AC263">
        <v>19284</v>
      </c>
      <c r="AD263">
        <v>56</v>
      </c>
      <c r="AE263">
        <v>1363</v>
      </c>
      <c r="AF263">
        <v>0</v>
      </c>
      <c r="AG263">
        <v>19284</v>
      </c>
      <c r="AH263">
        <v>56</v>
      </c>
      <c r="AI263">
        <v>1363</v>
      </c>
      <c r="AJ263">
        <v>0</v>
      </c>
      <c r="AK263">
        <v>0</v>
      </c>
      <c r="AL263">
        <v>0</v>
      </c>
      <c r="AM263">
        <v>0</v>
      </c>
    </row>
    <row r="264" spans="1:39" x14ac:dyDescent="0.3">
      <c r="A264" t="s">
        <v>260</v>
      </c>
      <c r="B264">
        <v>13981.11074</v>
      </c>
      <c r="C264">
        <v>8.5508000000000001E-2</v>
      </c>
      <c r="D264">
        <v>0</v>
      </c>
      <c r="E264">
        <v>-1</v>
      </c>
      <c r="F264">
        <v>-1</v>
      </c>
      <c r="G264">
        <v>-1</v>
      </c>
      <c r="H264">
        <v>0</v>
      </c>
      <c r="I264">
        <v>3600.0860510000002</v>
      </c>
      <c r="K264">
        <v>1</v>
      </c>
      <c r="M264">
        <v>100000</v>
      </c>
      <c r="N264">
        <v>1E-3</v>
      </c>
      <c r="O264">
        <v>-1</v>
      </c>
      <c r="Q264">
        <v>-1</v>
      </c>
      <c r="R264">
        <v>-1</v>
      </c>
      <c r="S264">
        <v>-1</v>
      </c>
      <c r="T264">
        <v>5.6561E-2</v>
      </c>
      <c r="U264">
        <v>-1</v>
      </c>
      <c r="V264">
        <v>-1</v>
      </c>
      <c r="W264">
        <v>0</v>
      </c>
      <c r="X264">
        <v>3600.0005430000001</v>
      </c>
      <c r="Z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</row>
    <row r="265" spans="1:39" x14ac:dyDescent="0.3">
      <c r="A265" t="s">
        <v>261</v>
      </c>
      <c r="B265">
        <v>13898.88651</v>
      </c>
      <c r="C265">
        <v>4.2512000000000001E-2</v>
      </c>
      <c r="D265">
        <v>0</v>
      </c>
      <c r="E265">
        <v>103899.88649999999</v>
      </c>
      <c r="F265">
        <v>-1</v>
      </c>
      <c r="G265">
        <v>90001</v>
      </c>
      <c r="H265">
        <v>13898.88651</v>
      </c>
      <c r="I265">
        <v>3600.9061739999997</v>
      </c>
      <c r="K265">
        <v>1</v>
      </c>
      <c r="M265">
        <v>100000</v>
      </c>
      <c r="N265">
        <v>103899.88649999999</v>
      </c>
      <c r="O265">
        <v>-1</v>
      </c>
      <c r="Q265">
        <v>1</v>
      </c>
      <c r="R265">
        <v>-1</v>
      </c>
      <c r="S265">
        <v>-1</v>
      </c>
      <c r="T265">
        <v>0</v>
      </c>
      <c r="U265">
        <v>-1</v>
      </c>
      <c r="V265">
        <v>-1</v>
      </c>
      <c r="W265">
        <v>0</v>
      </c>
      <c r="X265">
        <v>333.20479699999999</v>
      </c>
      <c r="Z265">
        <v>3267.6588649999999</v>
      </c>
      <c r="AB265">
        <v>1</v>
      </c>
      <c r="AC265">
        <v>91080</v>
      </c>
      <c r="AD265">
        <v>49</v>
      </c>
      <c r="AE265">
        <v>1799</v>
      </c>
      <c r="AF265">
        <v>150</v>
      </c>
      <c r="AG265">
        <v>91080</v>
      </c>
      <c r="AH265">
        <v>49</v>
      </c>
      <c r="AI265">
        <v>1799</v>
      </c>
      <c r="AJ265">
        <v>150</v>
      </c>
      <c r="AK265">
        <v>482.95400000000001</v>
      </c>
      <c r="AL265">
        <v>150</v>
      </c>
      <c r="AM265">
        <v>3.2196929999999999</v>
      </c>
    </row>
    <row r="266" spans="1:39" x14ac:dyDescent="0.3">
      <c r="A266" t="s">
        <v>262</v>
      </c>
      <c r="B266">
        <v>13907.780769999999</v>
      </c>
      <c r="C266">
        <v>7.8591999999999995E-2</v>
      </c>
      <c r="D266">
        <v>0</v>
      </c>
      <c r="E266">
        <v>103908.78079999999</v>
      </c>
      <c r="F266">
        <v>-1</v>
      </c>
      <c r="G266">
        <v>90001</v>
      </c>
      <c r="H266">
        <v>13907.780769999999</v>
      </c>
      <c r="I266">
        <v>3600.2341179999999</v>
      </c>
      <c r="K266">
        <v>1</v>
      </c>
      <c r="M266">
        <v>100000</v>
      </c>
      <c r="N266">
        <v>103908.78079999999</v>
      </c>
      <c r="O266">
        <v>-1</v>
      </c>
      <c r="Q266">
        <v>1</v>
      </c>
      <c r="R266">
        <v>-1</v>
      </c>
      <c r="S266">
        <v>-1</v>
      </c>
      <c r="T266">
        <v>0</v>
      </c>
      <c r="U266">
        <v>-1</v>
      </c>
      <c r="V266">
        <v>-1</v>
      </c>
      <c r="W266">
        <v>0</v>
      </c>
      <c r="X266">
        <v>281.61355800000001</v>
      </c>
      <c r="Z266">
        <v>3318.541968</v>
      </c>
      <c r="AB266">
        <v>1</v>
      </c>
      <c r="AC266">
        <v>66771</v>
      </c>
      <c r="AD266">
        <v>56</v>
      </c>
      <c r="AE266">
        <v>1066</v>
      </c>
      <c r="AF266">
        <v>0</v>
      </c>
      <c r="AG266">
        <v>66771</v>
      </c>
      <c r="AH266">
        <v>56</v>
      </c>
      <c r="AI266">
        <v>1066</v>
      </c>
      <c r="AJ266">
        <v>0</v>
      </c>
      <c r="AK266">
        <v>0</v>
      </c>
      <c r="AL266">
        <v>0</v>
      </c>
      <c r="AM266">
        <v>0</v>
      </c>
    </row>
    <row r="267" spans="1:39" x14ac:dyDescent="0.3">
      <c r="A267" t="s">
        <v>263</v>
      </c>
      <c r="B267">
        <v>13972.2219</v>
      </c>
      <c r="C267">
        <v>6.9846000000000005E-2</v>
      </c>
      <c r="D267">
        <v>0</v>
      </c>
      <c r="E267">
        <v>103973.2219</v>
      </c>
      <c r="F267">
        <v>-1</v>
      </c>
      <c r="G267">
        <v>90001</v>
      </c>
      <c r="H267">
        <v>13972.2219</v>
      </c>
      <c r="I267">
        <v>3601.6381059999999</v>
      </c>
      <c r="K267">
        <v>1</v>
      </c>
      <c r="M267">
        <v>100000</v>
      </c>
      <c r="N267">
        <v>103973.2219</v>
      </c>
      <c r="O267">
        <v>-1</v>
      </c>
      <c r="Q267">
        <v>1</v>
      </c>
      <c r="R267">
        <v>-1</v>
      </c>
      <c r="S267">
        <v>-1</v>
      </c>
      <c r="T267">
        <v>0</v>
      </c>
      <c r="U267">
        <v>-1</v>
      </c>
      <c r="V267">
        <v>-1</v>
      </c>
      <c r="W267">
        <v>0</v>
      </c>
      <c r="X267">
        <v>480.08572099999998</v>
      </c>
      <c r="Z267">
        <v>3121.4825390000001</v>
      </c>
      <c r="AB267">
        <v>1</v>
      </c>
      <c r="AC267">
        <v>75453</v>
      </c>
      <c r="AD267">
        <v>52</v>
      </c>
      <c r="AE267">
        <v>701</v>
      </c>
      <c r="AF267">
        <v>106</v>
      </c>
      <c r="AG267">
        <v>75453</v>
      </c>
      <c r="AH267">
        <v>52</v>
      </c>
      <c r="AI267">
        <v>701</v>
      </c>
      <c r="AJ267">
        <v>106</v>
      </c>
      <c r="AK267">
        <v>571.60900000000004</v>
      </c>
      <c r="AL267">
        <v>106</v>
      </c>
      <c r="AM267">
        <v>5.3925380000000001</v>
      </c>
    </row>
    <row r="268" spans="1:39" x14ac:dyDescent="0.3">
      <c r="A268" t="s">
        <v>264</v>
      </c>
      <c r="B268">
        <v>13866.666289999999</v>
      </c>
      <c r="C268">
        <v>8.1383999999999998E-2</v>
      </c>
      <c r="D268">
        <v>0</v>
      </c>
      <c r="E268">
        <v>103867.6663</v>
      </c>
      <c r="F268">
        <v>-1</v>
      </c>
      <c r="G268">
        <v>90001</v>
      </c>
      <c r="H268">
        <v>13866.666289999999</v>
      </c>
      <c r="I268">
        <v>3607.14354</v>
      </c>
      <c r="K268">
        <v>1</v>
      </c>
      <c r="M268">
        <v>100000</v>
      </c>
      <c r="N268">
        <v>103867.6663</v>
      </c>
      <c r="O268">
        <v>-1</v>
      </c>
      <c r="Q268">
        <v>1</v>
      </c>
      <c r="R268">
        <v>-1</v>
      </c>
      <c r="S268">
        <v>-1</v>
      </c>
      <c r="T268">
        <v>0</v>
      </c>
      <c r="U268">
        <v>-1</v>
      </c>
      <c r="V268">
        <v>-1</v>
      </c>
      <c r="W268">
        <v>0</v>
      </c>
      <c r="X268">
        <v>364.55508200000003</v>
      </c>
      <c r="Z268">
        <v>3242.5070740000001</v>
      </c>
      <c r="AB268">
        <v>1</v>
      </c>
      <c r="AC268">
        <v>33422</v>
      </c>
      <c r="AD268">
        <v>87</v>
      </c>
      <c r="AE268">
        <v>20155</v>
      </c>
      <c r="AF268">
        <v>66</v>
      </c>
      <c r="AG268">
        <v>33422</v>
      </c>
      <c r="AH268">
        <v>87</v>
      </c>
      <c r="AI268">
        <v>20155</v>
      </c>
      <c r="AJ268">
        <v>66</v>
      </c>
      <c r="AK268">
        <v>355.13099999999997</v>
      </c>
      <c r="AL268">
        <v>66</v>
      </c>
      <c r="AM268">
        <v>5.3807729999999996</v>
      </c>
    </row>
    <row r="269" spans="1:39" x14ac:dyDescent="0.3">
      <c r="A269" t="s">
        <v>265</v>
      </c>
      <c r="B269">
        <v>13897.77792</v>
      </c>
      <c r="C269">
        <v>8.1890000000000004E-2</v>
      </c>
      <c r="D269">
        <v>0</v>
      </c>
      <c r="E269">
        <v>103899.7779</v>
      </c>
      <c r="F269">
        <v>-1</v>
      </c>
      <c r="G269">
        <v>90002</v>
      </c>
      <c r="H269">
        <v>13897.77792</v>
      </c>
      <c r="I269">
        <v>3618.1664019999998</v>
      </c>
      <c r="K269">
        <v>1</v>
      </c>
      <c r="M269">
        <v>100000</v>
      </c>
      <c r="N269">
        <v>103899.7779</v>
      </c>
      <c r="O269">
        <v>-1</v>
      </c>
      <c r="Q269">
        <v>1</v>
      </c>
      <c r="R269">
        <v>-1</v>
      </c>
      <c r="S269">
        <v>-1</v>
      </c>
      <c r="T269">
        <v>0</v>
      </c>
      <c r="U269">
        <v>-1</v>
      </c>
      <c r="V269">
        <v>-1</v>
      </c>
      <c r="W269">
        <v>0</v>
      </c>
      <c r="X269">
        <v>540.97337500000003</v>
      </c>
      <c r="Z269">
        <v>3077.1111369999999</v>
      </c>
      <c r="AB269">
        <v>1</v>
      </c>
      <c r="AC269">
        <v>17166</v>
      </c>
      <c r="AD269">
        <v>69</v>
      </c>
      <c r="AE269">
        <v>4751</v>
      </c>
      <c r="AF269">
        <v>310</v>
      </c>
      <c r="AG269">
        <v>17166</v>
      </c>
      <c r="AH269">
        <v>69</v>
      </c>
      <c r="AI269">
        <v>4751</v>
      </c>
      <c r="AJ269">
        <v>310</v>
      </c>
      <c r="AK269">
        <v>1682.1590000000001</v>
      </c>
      <c r="AL269">
        <v>310</v>
      </c>
      <c r="AM269">
        <v>5.4263190000000003</v>
      </c>
    </row>
    <row r="270" spans="1:39" x14ac:dyDescent="0.3">
      <c r="A270" t="s">
        <v>266</v>
      </c>
      <c r="B270">
        <v>13884.446389999999</v>
      </c>
      <c r="C270">
        <v>6.8874000000000005E-2</v>
      </c>
      <c r="D270">
        <v>0</v>
      </c>
      <c r="E270">
        <v>103886.4464</v>
      </c>
      <c r="F270">
        <v>-1</v>
      </c>
      <c r="G270">
        <v>90002</v>
      </c>
      <c r="H270">
        <v>13884.446389999999</v>
      </c>
      <c r="I270">
        <v>3653.3359019999998</v>
      </c>
      <c r="K270">
        <v>1</v>
      </c>
      <c r="M270">
        <v>100000</v>
      </c>
      <c r="N270">
        <v>103886.4464</v>
      </c>
      <c r="O270">
        <v>-1</v>
      </c>
      <c r="Q270">
        <v>1</v>
      </c>
      <c r="R270">
        <v>-1</v>
      </c>
      <c r="S270">
        <v>-1</v>
      </c>
      <c r="T270">
        <v>0</v>
      </c>
      <c r="U270">
        <v>-1</v>
      </c>
      <c r="V270">
        <v>-1</v>
      </c>
      <c r="W270">
        <v>0</v>
      </c>
      <c r="X270">
        <v>1446.775365</v>
      </c>
      <c r="Z270">
        <v>2206.4916629999998</v>
      </c>
      <c r="AB270">
        <v>1</v>
      </c>
      <c r="AC270">
        <v>30705</v>
      </c>
      <c r="AD270">
        <v>81</v>
      </c>
      <c r="AE270">
        <v>6096</v>
      </c>
      <c r="AF270">
        <v>236</v>
      </c>
      <c r="AG270">
        <v>30705</v>
      </c>
      <c r="AH270">
        <v>81</v>
      </c>
      <c r="AI270">
        <v>6096</v>
      </c>
      <c r="AJ270">
        <v>236</v>
      </c>
      <c r="AK270">
        <v>1273.3610000000001</v>
      </c>
      <c r="AL270">
        <v>236</v>
      </c>
      <c r="AM270">
        <v>5.3955970000000004</v>
      </c>
    </row>
    <row r="271" spans="1:39" s="1" customFormat="1" x14ac:dyDescent="0.3">
      <c r="A271" s="1" t="s">
        <v>267</v>
      </c>
      <c r="B271" s="1">
        <v>14669.995500000001</v>
      </c>
      <c r="C271" s="1">
        <v>6.5129000000000006E-2</v>
      </c>
      <c r="D271" s="1">
        <v>0</v>
      </c>
      <c r="E271" s="1">
        <v>104670.9955</v>
      </c>
      <c r="F271" s="1">
        <v>-1</v>
      </c>
      <c r="G271" s="1">
        <v>90001</v>
      </c>
      <c r="H271" s="1">
        <v>14669.995500000001</v>
      </c>
      <c r="I271" s="1">
        <v>3805.7805129999997</v>
      </c>
      <c r="K271" s="1">
        <v>1</v>
      </c>
      <c r="M271" s="1">
        <v>100000</v>
      </c>
      <c r="N271" s="1">
        <v>104670.9955</v>
      </c>
      <c r="O271" s="1">
        <v>-1</v>
      </c>
      <c r="Q271" s="1">
        <v>1</v>
      </c>
      <c r="R271" s="1">
        <v>-1</v>
      </c>
      <c r="S271" s="1">
        <v>-1</v>
      </c>
      <c r="T271" s="1">
        <v>0</v>
      </c>
      <c r="U271" s="1">
        <v>-1</v>
      </c>
      <c r="V271" s="1">
        <v>-1</v>
      </c>
      <c r="W271" s="1">
        <v>0</v>
      </c>
      <c r="X271" s="1">
        <v>380.88024899999999</v>
      </c>
      <c r="Z271" s="1">
        <v>3424.8351349999998</v>
      </c>
      <c r="AB271" s="1">
        <v>1</v>
      </c>
      <c r="AC271" s="1">
        <v>12016</v>
      </c>
      <c r="AD271" s="1">
        <v>74</v>
      </c>
      <c r="AE271" s="1">
        <v>7908</v>
      </c>
      <c r="AF271" s="1">
        <v>426</v>
      </c>
      <c r="AG271" s="1">
        <v>12016</v>
      </c>
      <c r="AH271" s="1">
        <v>74</v>
      </c>
      <c r="AI271" s="1">
        <v>7908</v>
      </c>
      <c r="AJ271" s="1">
        <v>426</v>
      </c>
      <c r="AK271" s="1">
        <v>2279.902</v>
      </c>
      <c r="AL271" s="1">
        <v>426</v>
      </c>
      <c r="AM271" s="1">
        <v>5.3518829999999999</v>
      </c>
    </row>
    <row r="272" spans="1:39" s="3" customFormat="1" x14ac:dyDescent="0.3">
      <c r="A272" s="3" t="s">
        <v>134</v>
      </c>
      <c r="B272" s="3">
        <v>15448.00288</v>
      </c>
      <c r="C272" s="3">
        <v>9.2305999999999999E-2</v>
      </c>
      <c r="D272" s="3">
        <v>0</v>
      </c>
      <c r="E272" s="3">
        <v>115453.00290000001</v>
      </c>
      <c r="F272" s="3">
        <v>15448.002860000001</v>
      </c>
      <c r="G272" s="3">
        <v>100005</v>
      </c>
      <c r="H272" s="3">
        <v>15448.00288</v>
      </c>
      <c r="I272" s="3">
        <v>3066.5488150000001</v>
      </c>
      <c r="J272" s="3">
        <v>2352.3527356666668</v>
      </c>
      <c r="K272" s="3">
        <v>1</v>
      </c>
      <c r="L272" s="5">
        <v>3</v>
      </c>
      <c r="M272" s="3">
        <v>100000</v>
      </c>
      <c r="N272" s="3">
        <v>115453.00290000001</v>
      </c>
      <c r="O272" s="3">
        <v>1</v>
      </c>
      <c r="P272" s="3">
        <v>3</v>
      </c>
      <c r="Q272" s="3">
        <v>1</v>
      </c>
      <c r="R272" s="3">
        <v>1</v>
      </c>
      <c r="S272" s="3">
        <v>0</v>
      </c>
      <c r="T272" s="3">
        <v>0</v>
      </c>
      <c r="U272" s="3">
        <v>0</v>
      </c>
      <c r="V272" s="3">
        <v>-1</v>
      </c>
      <c r="W272" s="3">
        <v>1</v>
      </c>
      <c r="X272" s="3">
        <v>1272.0383690000001</v>
      </c>
      <c r="Y272" s="3">
        <v>891.68221433333338</v>
      </c>
      <c r="Z272" s="3">
        <v>1794.41814</v>
      </c>
      <c r="AA272" s="3">
        <v>1460.591878</v>
      </c>
      <c r="AB272" s="3">
        <v>1</v>
      </c>
      <c r="AC272" s="3">
        <v>10023</v>
      </c>
      <c r="AD272" s="3">
        <v>94</v>
      </c>
      <c r="AE272" s="3">
        <v>8568</v>
      </c>
      <c r="AF272" s="3">
        <v>146</v>
      </c>
      <c r="AG272" s="3">
        <v>10023</v>
      </c>
      <c r="AH272" s="3">
        <v>94</v>
      </c>
      <c r="AI272" s="3">
        <v>8568</v>
      </c>
      <c r="AJ272" s="3">
        <v>146</v>
      </c>
      <c r="AK272" s="3">
        <v>1167.9739999999999</v>
      </c>
      <c r="AL272" s="3">
        <v>147</v>
      </c>
      <c r="AM272" s="3">
        <v>7.9454010000000004</v>
      </c>
    </row>
    <row r="273" spans="1:39" x14ac:dyDescent="0.3">
      <c r="A273" t="s">
        <v>131</v>
      </c>
      <c r="B273">
        <v>15447.996450000001</v>
      </c>
      <c r="C273">
        <v>6.9138000000000005E-2</v>
      </c>
      <c r="D273">
        <v>0</v>
      </c>
      <c r="E273">
        <v>115450.9964</v>
      </c>
      <c r="F273">
        <v>15447.99683</v>
      </c>
      <c r="G273">
        <v>100003</v>
      </c>
      <c r="H273">
        <v>15447.996450000001</v>
      </c>
      <c r="I273">
        <v>1940.7891979999999</v>
      </c>
      <c r="K273">
        <v>1</v>
      </c>
      <c r="M273">
        <v>100000</v>
      </c>
      <c r="N273">
        <v>115450.9964</v>
      </c>
      <c r="O273">
        <v>1</v>
      </c>
      <c r="Q273">
        <v>1</v>
      </c>
      <c r="R273">
        <v>1</v>
      </c>
      <c r="S273">
        <v>0</v>
      </c>
      <c r="T273">
        <v>0</v>
      </c>
      <c r="U273">
        <v>0</v>
      </c>
      <c r="V273">
        <v>-1</v>
      </c>
      <c r="W273">
        <v>1</v>
      </c>
      <c r="X273">
        <v>1019.506677</v>
      </c>
      <c r="Z273">
        <v>921.21338300000002</v>
      </c>
      <c r="AB273">
        <v>1</v>
      </c>
      <c r="AC273">
        <v>7922</v>
      </c>
      <c r="AD273">
        <v>85</v>
      </c>
      <c r="AE273">
        <v>6236</v>
      </c>
      <c r="AF273">
        <v>29</v>
      </c>
      <c r="AG273">
        <v>7922</v>
      </c>
      <c r="AH273">
        <v>85</v>
      </c>
      <c r="AI273">
        <v>6236</v>
      </c>
      <c r="AJ273">
        <v>29</v>
      </c>
      <c r="AK273">
        <v>238.13</v>
      </c>
      <c r="AL273">
        <v>30</v>
      </c>
      <c r="AM273">
        <v>7.9376670000000003</v>
      </c>
    </row>
    <row r="274" spans="1:39" s="4" customFormat="1" x14ac:dyDescent="0.3">
      <c r="A274" s="4" t="s">
        <v>138</v>
      </c>
      <c r="B274" s="4">
        <v>15472.00202</v>
      </c>
      <c r="C274" s="4">
        <v>7.4485999999999997E-2</v>
      </c>
      <c r="D274" s="4">
        <v>0</v>
      </c>
      <c r="E274" s="4">
        <v>115474.00199999999</v>
      </c>
      <c r="F274" s="4">
        <v>15472.001899999999</v>
      </c>
      <c r="G274" s="4">
        <v>100002</v>
      </c>
      <c r="H274" s="4">
        <v>15472.00202</v>
      </c>
      <c r="I274" s="4">
        <v>2049.720194</v>
      </c>
      <c r="K274" s="4">
        <v>1</v>
      </c>
      <c r="M274" s="4">
        <v>100000</v>
      </c>
      <c r="N274" s="4">
        <v>115474.00199999999</v>
      </c>
      <c r="O274" s="4">
        <v>1</v>
      </c>
      <c r="Q274" s="4">
        <v>1</v>
      </c>
      <c r="R274" s="4">
        <v>1</v>
      </c>
      <c r="S274" s="4">
        <v>0</v>
      </c>
      <c r="T274" s="4">
        <v>0</v>
      </c>
      <c r="U274" s="4">
        <v>0</v>
      </c>
      <c r="V274" s="4">
        <v>-1</v>
      </c>
      <c r="W274" s="4">
        <v>1</v>
      </c>
      <c r="X274" s="4">
        <v>383.501597</v>
      </c>
      <c r="Z274" s="4">
        <v>1666.1441110000001</v>
      </c>
      <c r="AB274" s="4">
        <v>1</v>
      </c>
      <c r="AC274" s="4">
        <v>16205</v>
      </c>
      <c r="AD274" s="4">
        <v>101</v>
      </c>
      <c r="AE274" s="4">
        <v>10806</v>
      </c>
      <c r="AF274" s="4">
        <v>5</v>
      </c>
      <c r="AG274" s="4">
        <v>16205</v>
      </c>
      <c r="AH274" s="4">
        <v>101</v>
      </c>
      <c r="AI274" s="4">
        <v>10806</v>
      </c>
      <c r="AJ274" s="4">
        <v>5</v>
      </c>
      <c r="AK274" s="4">
        <v>28.413</v>
      </c>
      <c r="AL274" s="4">
        <v>6</v>
      </c>
      <c r="AM274" s="4">
        <v>4.7355</v>
      </c>
    </row>
    <row r="275" spans="1:39" x14ac:dyDescent="0.3">
      <c r="A275" t="s">
        <v>139</v>
      </c>
      <c r="B275">
        <v>15460.00491</v>
      </c>
      <c r="C275">
        <v>0.109224</v>
      </c>
      <c r="D275">
        <v>0</v>
      </c>
      <c r="E275">
        <v>115461.0049</v>
      </c>
      <c r="F275">
        <v>-1</v>
      </c>
      <c r="G275">
        <v>100001</v>
      </c>
      <c r="H275">
        <v>15460.00491</v>
      </c>
      <c r="I275">
        <v>3601.0372939999997</v>
      </c>
      <c r="K275">
        <v>1</v>
      </c>
      <c r="M275">
        <v>100000</v>
      </c>
      <c r="N275">
        <v>115461.0049</v>
      </c>
      <c r="O275">
        <v>-1</v>
      </c>
      <c r="Q275">
        <v>1</v>
      </c>
      <c r="R275">
        <v>-1</v>
      </c>
      <c r="S275">
        <v>-1</v>
      </c>
      <c r="T275">
        <v>0</v>
      </c>
      <c r="U275">
        <v>-1</v>
      </c>
      <c r="V275">
        <v>-1</v>
      </c>
      <c r="W275">
        <v>0</v>
      </c>
      <c r="X275">
        <v>1338.778264</v>
      </c>
      <c r="Z275">
        <v>2262.1498059999999</v>
      </c>
      <c r="AB275">
        <v>1</v>
      </c>
      <c r="AC275">
        <v>39565</v>
      </c>
      <c r="AD275">
        <v>76</v>
      </c>
      <c r="AE275">
        <v>1434</v>
      </c>
      <c r="AF275">
        <v>0</v>
      </c>
      <c r="AG275">
        <v>39565</v>
      </c>
      <c r="AH275">
        <v>76</v>
      </c>
      <c r="AI275">
        <v>1434</v>
      </c>
      <c r="AJ275">
        <v>0</v>
      </c>
      <c r="AK275">
        <v>0</v>
      </c>
      <c r="AL275">
        <v>0</v>
      </c>
      <c r="AM275">
        <v>0</v>
      </c>
    </row>
    <row r="276" spans="1:39" x14ac:dyDescent="0.3">
      <c r="A276" t="s">
        <v>125</v>
      </c>
      <c r="B276">
        <v>15527.999750000001</v>
      </c>
      <c r="C276">
        <v>0.10362</v>
      </c>
      <c r="D276">
        <v>0</v>
      </c>
      <c r="E276">
        <v>115530.9997</v>
      </c>
      <c r="F276">
        <v>-1</v>
      </c>
      <c r="G276">
        <v>100003</v>
      </c>
      <c r="H276">
        <v>15527.999750000001</v>
      </c>
      <c r="I276">
        <v>3601.0826929999998</v>
      </c>
      <c r="K276">
        <v>1</v>
      </c>
      <c r="M276">
        <v>100000</v>
      </c>
      <c r="N276">
        <v>115530.9997</v>
      </c>
      <c r="O276">
        <v>-1</v>
      </c>
      <c r="Q276">
        <v>1</v>
      </c>
      <c r="R276">
        <v>-1</v>
      </c>
      <c r="S276">
        <v>-1</v>
      </c>
      <c r="T276">
        <v>0</v>
      </c>
      <c r="U276">
        <v>-1</v>
      </c>
      <c r="V276">
        <v>-1</v>
      </c>
      <c r="W276">
        <v>0</v>
      </c>
      <c r="X276">
        <v>900.12104799999997</v>
      </c>
      <c r="Z276">
        <v>2700.858025</v>
      </c>
      <c r="AB276">
        <v>1</v>
      </c>
      <c r="AC276">
        <v>30305</v>
      </c>
      <c r="AD276">
        <v>119</v>
      </c>
      <c r="AE276">
        <v>22249</v>
      </c>
      <c r="AF276">
        <v>113</v>
      </c>
      <c r="AG276">
        <v>30305</v>
      </c>
      <c r="AH276">
        <v>119</v>
      </c>
      <c r="AI276">
        <v>22249</v>
      </c>
      <c r="AJ276">
        <v>113</v>
      </c>
      <c r="AK276">
        <v>891.64700000000005</v>
      </c>
      <c r="AL276">
        <v>113</v>
      </c>
      <c r="AM276">
        <v>7.8906809999999998</v>
      </c>
    </row>
    <row r="277" spans="1:39" x14ac:dyDescent="0.3">
      <c r="A277" t="s">
        <v>141</v>
      </c>
      <c r="B277">
        <v>15487.999620000001</v>
      </c>
      <c r="C277">
        <v>0.10466200000000001</v>
      </c>
      <c r="D277">
        <v>0</v>
      </c>
      <c r="E277">
        <v>115489.9996</v>
      </c>
      <c r="F277">
        <v>-1</v>
      </c>
      <c r="G277">
        <v>100002</v>
      </c>
      <c r="H277">
        <v>15487.999620000001</v>
      </c>
      <c r="I277">
        <v>3600.271581</v>
      </c>
      <c r="K277">
        <v>1</v>
      </c>
      <c r="M277">
        <v>100000</v>
      </c>
      <c r="N277">
        <v>115489.9996</v>
      </c>
      <c r="O277">
        <v>-1</v>
      </c>
      <c r="Q277">
        <v>1</v>
      </c>
      <c r="R277">
        <v>-1</v>
      </c>
      <c r="S277">
        <v>-1</v>
      </c>
      <c r="T277">
        <v>0</v>
      </c>
      <c r="U277">
        <v>-1</v>
      </c>
      <c r="V277">
        <v>-1</v>
      </c>
      <c r="W277">
        <v>0</v>
      </c>
      <c r="X277">
        <v>339.42797100000001</v>
      </c>
      <c r="Z277">
        <v>3260.7389480000002</v>
      </c>
      <c r="AB277">
        <v>1</v>
      </c>
      <c r="AC277">
        <v>26942</v>
      </c>
      <c r="AD277">
        <v>110</v>
      </c>
      <c r="AE277">
        <v>20886</v>
      </c>
      <c r="AF277">
        <v>237</v>
      </c>
      <c r="AG277">
        <v>26942</v>
      </c>
      <c r="AH277">
        <v>110</v>
      </c>
      <c r="AI277">
        <v>20886</v>
      </c>
      <c r="AJ277">
        <v>237</v>
      </c>
      <c r="AK277">
        <v>1366.681</v>
      </c>
      <c r="AL277">
        <v>237</v>
      </c>
      <c r="AM277">
        <v>5.7665860000000002</v>
      </c>
    </row>
    <row r="278" spans="1:39" x14ac:dyDescent="0.3">
      <c r="A278" t="s">
        <v>126</v>
      </c>
      <c r="B278">
        <v>16336.001120000001</v>
      </c>
      <c r="C278">
        <v>9.4173999999999994E-2</v>
      </c>
      <c r="D278">
        <v>0</v>
      </c>
      <c r="E278">
        <v>-1</v>
      </c>
      <c r="F278">
        <v>-1</v>
      </c>
      <c r="G278">
        <v>-1</v>
      </c>
      <c r="H278">
        <v>0</v>
      </c>
      <c r="I278">
        <v>3600.1343669999997</v>
      </c>
      <c r="K278">
        <v>1</v>
      </c>
      <c r="M278">
        <v>100000</v>
      </c>
      <c r="N278">
        <v>1E-3</v>
      </c>
      <c r="O278">
        <v>-1</v>
      </c>
      <c r="Q278">
        <v>-1</v>
      </c>
      <c r="R278">
        <v>-1</v>
      </c>
      <c r="S278">
        <v>-1</v>
      </c>
      <c r="T278">
        <v>0.14669499999999999</v>
      </c>
      <c r="U278">
        <v>-1</v>
      </c>
      <c r="V278">
        <v>-1</v>
      </c>
      <c r="W278">
        <v>0</v>
      </c>
      <c r="X278">
        <v>3600.0401929999998</v>
      </c>
      <c r="Z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</row>
    <row r="279" spans="1:39" x14ac:dyDescent="0.3">
      <c r="A279" t="s">
        <v>136</v>
      </c>
      <c r="B279">
        <v>15508.00128</v>
      </c>
      <c r="C279">
        <v>6.5421999999999994E-2</v>
      </c>
      <c r="D279">
        <v>0</v>
      </c>
      <c r="E279">
        <v>-1</v>
      </c>
      <c r="F279">
        <v>-1</v>
      </c>
      <c r="G279">
        <v>-1</v>
      </c>
      <c r="H279">
        <v>0</v>
      </c>
      <c r="I279">
        <v>3600.1121560000001</v>
      </c>
      <c r="K279">
        <v>1</v>
      </c>
      <c r="M279">
        <v>100000</v>
      </c>
      <c r="N279">
        <v>1E-3</v>
      </c>
      <c r="O279">
        <v>-1</v>
      </c>
      <c r="Q279">
        <v>-1</v>
      </c>
      <c r="R279">
        <v>-1</v>
      </c>
      <c r="S279">
        <v>-1</v>
      </c>
      <c r="T279">
        <v>7.9675999999999997E-2</v>
      </c>
      <c r="U279">
        <v>-1</v>
      </c>
      <c r="V279">
        <v>-1</v>
      </c>
      <c r="W279">
        <v>0</v>
      </c>
      <c r="X279">
        <v>3600.046734</v>
      </c>
      <c r="Z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</row>
    <row r="280" spans="1:39" x14ac:dyDescent="0.3">
      <c r="A280" t="s">
        <v>127</v>
      </c>
      <c r="B280">
        <v>15408.00296</v>
      </c>
      <c r="C280">
        <v>0.11225499999999999</v>
      </c>
      <c r="D280">
        <v>0</v>
      </c>
      <c r="E280">
        <v>115412.003</v>
      </c>
      <c r="F280">
        <v>-1</v>
      </c>
      <c r="G280">
        <v>100004</v>
      </c>
      <c r="H280">
        <v>15408.00296</v>
      </c>
      <c r="I280">
        <v>3600.5244149999999</v>
      </c>
      <c r="K280">
        <v>1</v>
      </c>
      <c r="M280">
        <v>100000</v>
      </c>
      <c r="N280">
        <v>115412.003</v>
      </c>
      <c r="O280">
        <v>-1</v>
      </c>
      <c r="Q280">
        <v>1</v>
      </c>
      <c r="R280">
        <v>-1</v>
      </c>
      <c r="S280">
        <v>-1</v>
      </c>
      <c r="T280">
        <v>0</v>
      </c>
      <c r="U280">
        <v>-1</v>
      </c>
      <c r="V280">
        <v>-1</v>
      </c>
      <c r="W280">
        <v>0</v>
      </c>
      <c r="X280">
        <v>1109.749941</v>
      </c>
      <c r="Z280">
        <v>2490.6622189999998</v>
      </c>
      <c r="AB280">
        <v>1</v>
      </c>
      <c r="AC280">
        <v>18502</v>
      </c>
      <c r="AD280">
        <v>109</v>
      </c>
      <c r="AE280">
        <v>34775</v>
      </c>
      <c r="AF280">
        <v>18</v>
      </c>
      <c r="AG280">
        <v>18502</v>
      </c>
      <c r="AH280">
        <v>109</v>
      </c>
      <c r="AI280">
        <v>34775</v>
      </c>
      <c r="AJ280">
        <v>18</v>
      </c>
      <c r="AK280">
        <v>144.66900000000001</v>
      </c>
      <c r="AL280">
        <v>18</v>
      </c>
      <c r="AM280">
        <v>8.0371670000000002</v>
      </c>
    </row>
    <row r="281" spans="1:39" x14ac:dyDescent="0.3">
      <c r="A281" t="s">
        <v>150</v>
      </c>
      <c r="B281">
        <v>15567.998820000001</v>
      </c>
      <c r="C281">
        <v>8.6595000000000005E-2</v>
      </c>
      <c r="D281">
        <v>0</v>
      </c>
      <c r="E281">
        <v>-1</v>
      </c>
      <c r="F281">
        <v>-1</v>
      </c>
      <c r="G281">
        <v>-1</v>
      </c>
      <c r="H281">
        <v>0</v>
      </c>
      <c r="I281">
        <v>3600.1911200000004</v>
      </c>
      <c r="K281">
        <v>1</v>
      </c>
      <c r="M281">
        <v>100000</v>
      </c>
      <c r="N281">
        <v>1E-3</v>
      </c>
      <c r="O281">
        <v>-1</v>
      </c>
      <c r="Q281">
        <v>-1</v>
      </c>
      <c r="R281">
        <v>-1</v>
      </c>
      <c r="S281">
        <v>-1</v>
      </c>
      <c r="T281">
        <v>0.15928200000000001</v>
      </c>
      <c r="U281">
        <v>-1</v>
      </c>
      <c r="V281">
        <v>-1</v>
      </c>
      <c r="W281">
        <v>0</v>
      </c>
      <c r="X281">
        <v>3600.1045250000002</v>
      </c>
      <c r="Z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</row>
    <row r="282" spans="1:39" x14ac:dyDescent="0.3">
      <c r="A282" t="s">
        <v>151</v>
      </c>
      <c r="B282">
        <v>15427.995290000001</v>
      </c>
      <c r="C282">
        <v>6.2992000000000006E-2</v>
      </c>
      <c r="D282">
        <v>0</v>
      </c>
      <c r="E282">
        <v>-1</v>
      </c>
      <c r="F282">
        <v>-1</v>
      </c>
      <c r="G282">
        <v>-1</v>
      </c>
      <c r="H282">
        <v>0</v>
      </c>
      <c r="I282">
        <v>3600.2085390000002</v>
      </c>
      <c r="K282">
        <v>1</v>
      </c>
      <c r="M282">
        <v>100000</v>
      </c>
      <c r="N282">
        <v>1E-3</v>
      </c>
      <c r="O282">
        <v>-1</v>
      </c>
      <c r="Q282">
        <v>-1</v>
      </c>
      <c r="R282">
        <v>-1</v>
      </c>
      <c r="S282">
        <v>-1</v>
      </c>
      <c r="T282">
        <v>7.9726000000000005E-2</v>
      </c>
      <c r="U282">
        <v>-1</v>
      </c>
      <c r="V282">
        <v>-1</v>
      </c>
      <c r="W282">
        <v>0</v>
      </c>
      <c r="X282">
        <v>3600.1455470000001</v>
      </c>
      <c r="Z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</row>
    <row r="283" spans="1:39" x14ac:dyDescent="0.3">
      <c r="A283" t="s">
        <v>153</v>
      </c>
      <c r="B283">
        <v>15427.995290000001</v>
      </c>
      <c r="C283">
        <v>9.2267000000000002E-2</v>
      </c>
      <c r="D283">
        <v>0</v>
      </c>
      <c r="E283">
        <v>-1</v>
      </c>
      <c r="F283">
        <v>-1</v>
      </c>
      <c r="G283">
        <v>-1</v>
      </c>
      <c r="H283">
        <v>0</v>
      </c>
      <c r="I283">
        <v>3600.073167</v>
      </c>
      <c r="K283">
        <v>1</v>
      </c>
      <c r="M283">
        <v>100000</v>
      </c>
      <c r="N283">
        <v>1E-3</v>
      </c>
      <c r="O283">
        <v>-1</v>
      </c>
      <c r="Q283">
        <v>-1</v>
      </c>
      <c r="R283">
        <v>-1</v>
      </c>
      <c r="S283">
        <v>-1</v>
      </c>
      <c r="T283">
        <v>0.143348</v>
      </c>
      <c r="U283">
        <v>-1</v>
      </c>
      <c r="V283">
        <v>-1</v>
      </c>
      <c r="W283">
        <v>0</v>
      </c>
      <c r="X283">
        <v>3599.9809</v>
      </c>
      <c r="Z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</row>
    <row r="284" spans="1:39" x14ac:dyDescent="0.3">
      <c r="A284" t="s">
        <v>144</v>
      </c>
      <c r="B284">
        <v>15511.999879999999</v>
      </c>
      <c r="C284">
        <v>9.1264999999999999E-2</v>
      </c>
      <c r="D284">
        <v>0</v>
      </c>
      <c r="E284">
        <v>115513.9999</v>
      </c>
      <c r="F284">
        <v>-1</v>
      </c>
      <c r="G284">
        <v>100002</v>
      </c>
      <c r="H284">
        <v>15511.999879999999</v>
      </c>
      <c r="I284">
        <v>3600.847851</v>
      </c>
      <c r="K284">
        <v>1</v>
      </c>
      <c r="M284">
        <v>100000</v>
      </c>
      <c r="N284">
        <v>115513.9999</v>
      </c>
      <c r="O284">
        <v>-1</v>
      </c>
      <c r="Q284">
        <v>1</v>
      </c>
      <c r="R284">
        <v>-1</v>
      </c>
      <c r="S284">
        <v>-1</v>
      </c>
      <c r="T284">
        <v>0</v>
      </c>
      <c r="U284">
        <v>-1</v>
      </c>
      <c r="V284">
        <v>-1</v>
      </c>
      <c r="W284">
        <v>0</v>
      </c>
      <c r="X284">
        <v>1981.3543480000001</v>
      </c>
      <c r="Z284">
        <v>1619.4022379999999</v>
      </c>
      <c r="AB284">
        <v>1</v>
      </c>
      <c r="AC284">
        <v>35231</v>
      </c>
      <c r="AD284">
        <v>73</v>
      </c>
      <c r="AE284">
        <v>840</v>
      </c>
      <c r="AF284">
        <v>0</v>
      </c>
      <c r="AG284">
        <v>35231</v>
      </c>
      <c r="AH284">
        <v>73</v>
      </c>
      <c r="AI284">
        <v>840</v>
      </c>
      <c r="AJ284">
        <v>0</v>
      </c>
      <c r="AK284">
        <v>0</v>
      </c>
      <c r="AL284">
        <v>0</v>
      </c>
      <c r="AM284">
        <v>0</v>
      </c>
    </row>
    <row r="285" spans="1:39" x14ac:dyDescent="0.3">
      <c r="A285" t="s">
        <v>145</v>
      </c>
      <c r="B285">
        <v>15507.99901</v>
      </c>
      <c r="C285">
        <v>0.158362</v>
      </c>
      <c r="D285">
        <v>0</v>
      </c>
      <c r="E285">
        <v>115508.999</v>
      </c>
      <c r="F285">
        <v>-1</v>
      </c>
      <c r="G285">
        <v>100001</v>
      </c>
      <c r="H285">
        <v>15507.99901</v>
      </c>
      <c r="I285">
        <v>3600.4847050000003</v>
      </c>
      <c r="K285">
        <v>1</v>
      </c>
      <c r="M285">
        <v>100000</v>
      </c>
      <c r="N285">
        <v>115508.999</v>
      </c>
      <c r="O285">
        <v>-1</v>
      </c>
      <c r="Q285">
        <v>1</v>
      </c>
      <c r="R285">
        <v>-1</v>
      </c>
      <c r="S285">
        <v>-1</v>
      </c>
      <c r="T285">
        <v>0</v>
      </c>
      <c r="U285">
        <v>-1</v>
      </c>
      <c r="V285">
        <v>-1</v>
      </c>
      <c r="W285">
        <v>0</v>
      </c>
      <c r="X285">
        <v>2230.9118950000002</v>
      </c>
      <c r="Z285">
        <v>1369.414448</v>
      </c>
      <c r="AB285">
        <v>1</v>
      </c>
      <c r="AC285">
        <v>37525</v>
      </c>
      <c r="AD285">
        <v>71</v>
      </c>
      <c r="AE285">
        <v>3799</v>
      </c>
      <c r="AF285">
        <v>0</v>
      </c>
      <c r="AG285">
        <v>37525</v>
      </c>
      <c r="AH285">
        <v>71</v>
      </c>
      <c r="AI285">
        <v>3799</v>
      </c>
      <c r="AJ285">
        <v>0</v>
      </c>
      <c r="AK285">
        <v>0</v>
      </c>
      <c r="AL285">
        <v>0</v>
      </c>
      <c r="AM285">
        <v>0</v>
      </c>
    </row>
    <row r="286" spans="1:39" x14ac:dyDescent="0.3">
      <c r="A286" t="s">
        <v>156</v>
      </c>
      <c r="B286">
        <v>16267.999320000001</v>
      </c>
      <c r="C286">
        <v>7.0087999999999998E-2</v>
      </c>
      <c r="D286">
        <v>0</v>
      </c>
      <c r="E286">
        <v>-1</v>
      </c>
      <c r="F286">
        <v>-1</v>
      </c>
      <c r="G286">
        <v>-1</v>
      </c>
      <c r="H286">
        <v>0</v>
      </c>
      <c r="I286">
        <v>3600.3331539999999</v>
      </c>
      <c r="K286">
        <v>1</v>
      </c>
      <c r="M286">
        <v>100000</v>
      </c>
      <c r="N286">
        <v>1E-3</v>
      </c>
      <c r="O286">
        <v>-1</v>
      </c>
      <c r="Q286">
        <v>-1</v>
      </c>
      <c r="R286">
        <v>-1</v>
      </c>
      <c r="S286">
        <v>-1</v>
      </c>
      <c r="T286">
        <v>7.9196000000000003E-2</v>
      </c>
      <c r="U286">
        <v>-1</v>
      </c>
      <c r="V286">
        <v>-1</v>
      </c>
      <c r="W286">
        <v>0</v>
      </c>
      <c r="X286">
        <v>3600.263066</v>
      </c>
      <c r="Z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</row>
    <row r="287" spans="1:39" x14ac:dyDescent="0.3">
      <c r="A287" t="s">
        <v>157</v>
      </c>
      <c r="B287">
        <v>15479.999830000001</v>
      </c>
      <c r="C287">
        <v>8.4594000000000003E-2</v>
      </c>
      <c r="D287">
        <v>0</v>
      </c>
      <c r="E287">
        <v>115481.99980000001</v>
      </c>
      <c r="F287">
        <v>-1</v>
      </c>
      <c r="G287">
        <v>100002</v>
      </c>
      <c r="H287">
        <v>15479.999830000001</v>
      </c>
      <c r="I287">
        <v>3604.4737709999999</v>
      </c>
      <c r="K287">
        <v>1</v>
      </c>
      <c r="M287">
        <v>100000</v>
      </c>
      <c r="N287">
        <v>115481.99980000001</v>
      </c>
      <c r="O287">
        <v>-1</v>
      </c>
      <c r="Q287">
        <v>1</v>
      </c>
      <c r="R287">
        <v>-1</v>
      </c>
      <c r="S287">
        <v>-1</v>
      </c>
      <c r="T287">
        <v>0</v>
      </c>
      <c r="U287">
        <v>-1</v>
      </c>
      <c r="V287">
        <v>-1</v>
      </c>
      <c r="W287">
        <v>0</v>
      </c>
      <c r="X287">
        <v>523.62082799999996</v>
      </c>
      <c r="Z287">
        <v>3080.7683489999999</v>
      </c>
      <c r="AB287">
        <v>1</v>
      </c>
      <c r="AC287">
        <v>23153</v>
      </c>
      <c r="AD287">
        <v>107</v>
      </c>
      <c r="AE287">
        <v>5280</v>
      </c>
      <c r="AF287">
        <v>1</v>
      </c>
      <c r="AG287">
        <v>23153</v>
      </c>
      <c r="AH287">
        <v>107</v>
      </c>
      <c r="AI287">
        <v>5280</v>
      </c>
      <c r="AJ287">
        <v>1</v>
      </c>
      <c r="AK287">
        <v>8.0619999999999994</v>
      </c>
      <c r="AL287">
        <v>1</v>
      </c>
      <c r="AM287">
        <v>8.0619999999999994</v>
      </c>
    </row>
    <row r="288" spans="1:39" x14ac:dyDescent="0.3">
      <c r="A288" t="s">
        <v>158</v>
      </c>
      <c r="B288">
        <v>15423.998750000001</v>
      </c>
      <c r="C288">
        <v>0.132269</v>
      </c>
      <c r="D288">
        <v>0</v>
      </c>
      <c r="E288">
        <v>-1</v>
      </c>
      <c r="F288">
        <v>-1</v>
      </c>
      <c r="G288">
        <v>-1</v>
      </c>
      <c r="H288">
        <v>0</v>
      </c>
      <c r="I288">
        <v>3600.2351530000001</v>
      </c>
      <c r="K288">
        <v>1</v>
      </c>
      <c r="M288">
        <v>100000</v>
      </c>
      <c r="N288">
        <v>1E-3</v>
      </c>
      <c r="O288">
        <v>-1</v>
      </c>
      <c r="Q288">
        <v>-1</v>
      </c>
      <c r="R288">
        <v>-1</v>
      </c>
      <c r="S288">
        <v>-1</v>
      </c>
      <c r="T288">
        <v>0.13529099999999999</v>
      </c>
      <c r="U288">
        <v>-1</v>
      </c>
      <c r="V288">
        <v>-1</v>
      </c>
      <c r="W288">
        <v>0</v>
      </c>
      <c r="X288">
        <v>3600.1028839999999</v>
      </c>
      <c r="Z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</row>
    <row r="289" spans="1:39" x14ac:dyDescent="0.3">
      <c r="A289" t="s">
        <v>159</v>
      </c>
      <c r="B289">
        <v>15487.999620000001</v>
      </c>
      <c r="C289">
        <v>8.7876999999999997E-2</v>
      </c>
      <c r="D289">
        <v>0</v>
      </c>
      <c r="E289">
        <v>115489.9996</v>
      </c>
      <c r="F289">
        <v>-1</v>
      </c>
      <c r="G289">
        <v>100002</v>
      </c>
      <c r="H289">
        <v>15487.999620000001</v>
      </c>
      <c r="I289">
        <v>4080.5961859999998</v>
      </c>
      <c r="K289">
        <v>1</v>
      </c>
      <c r="M289">
        <v>100000</v>
      </c>
      <c r="N289">
        <v>115489.9996</v>
      </c>
      <c r="O289">
        <v>-1</v>
      </c>
      <c r="Q289">
        <v>1</v>
      </c>
      <c r="R289">
        <v>-1</v>
      </c>
      <c r="S289">
        <v>-1</v>
      </c>
      <c r="T289">
        <v>0</v>
      </c>
      <c r="U289">
        <v>-1</v>
      </c>
      <c r="V289">
        <v>-1</v>
      </c>
      <c r="W289">
        <v>0</v>
      </c>
      <c r="X289">
        <v>2218.4953390000001</v>
      </c>
      <c r="Z289">
        <v>1862.01297</v>
      </c>
      <c r="AB289">
        <v>1</v>
      </c>
      <c r="AC289">
        <v>5228</v>
      </c>
      <c r="AD289">
        <v>117</v>
      </c>
      <c r="AE289">
        <v>12876</v>
      </c>
      <c r="AF289">
        <v>123</v>
      </c>
      <c r="AG289">
        <v>5228</v>
      </c>
      <c r="AH289">
        <v>117</v>
      </c>
      <c r="AI289">
        <v>12876</v>
      </c>
      <c r="AJ289">
        <v>123</v>
      </c>
      <c r="AK289">
        <v>987.68</v>
      </c>
      <c r="AL289">
        <v>123</v>
      </c>
      <c r="AM289">
        <v>8.0299189999999996</v>
      </c>
    </row>
    <row r="290" spans="1:39" x14ac:dyDescent="0.3">
      <c r="A290" t="s">
        <v>160</v>
      </c>
      <c r="B290">
        <v>15596.000599999999</v>
      </c>
      <c r="C290">
        <v>8.0709000000000003E-2</v>
      </c>
      <c r="D290">
        <v>0</v>
      </c>
      <c r="E290">
        <v>115599.0006</v>
      </c>
      <c r="F290">
        <v>-1</v>
      </c>
      <c r="G290">
        <v>100003</v>
      </c>
      <c r="H290">
        <v>15596.000599999999</v>
      </c>
      <c r="I290">
        <v>3601.0728520000002</v>
      </c>
      <c r="K290">
        <v>1</v>
      </c>
      <c r="M290">
        <v>100000</v>
      </c>
      <c r="N290">
        <v>115599.0006</v>
      </c>
      <c r="O290">
        <v>-1</v>
      </c>
      <c r="Q290">
        <v>1</v>
      </c>
      <c r="R290">
        <v>-1</v>
      </c>
      <c r="S290">
        <v>-1</v>
      </c>
      <c r="T290">
        <v>0</v>
      </c>
      <c r="U290">
        <v>-1</v>
      </c>
      <c r="V290">
        <v>-1</v>
      </c>
      <c r="W290">
        <v>0</v>
      </c>
      <c r="X290">
        <v>954.43869099999995</v>
      </c>
      <c r="Z290">
        <v>2646.5534520000001</v>
      </c>
      <c r="AB290">
        <v>1</v>
      </c>
      <c r="AC290">
        <v>10584</v>
      </c>
      <c r="AD290">
        <v>112</v>
      </c>
      <c r="AE290">
        <v>24440</v>
      </c>
      <c r="AF290">
        <v>0</v>
      </c>
      <c r="AG290">
        <v>10584</v>
      </c>
      <c r="AH290">
        <v>112</v>
      </c>
      <c r="AI290">
        <v>24440</v>
      </c>
      <c r="AJ290">
        <v>0</v>
      </c>
      <c r="AK290">
        <v>0</v>
      </c>
      <c r="AL290">
        <v>0</v>
      </c>
      <c r="AM290">
        <v>0</v>
      </c>
    </row>
    <row r="291" spans="1:39" x14ac:dyDescent="0.3">
      <c r="A291" t="s">
        <v>163</v>
      </c>
      <c r="B291">
        <v>15619.999110000001</v>
      </c>
      <c r="C291">
        <v>0.105269</v>
      </c>
      <c r="D291">
        <v>0</v>
      </c>
      <c r="E291">
        <v>-1</v>
      </c>
      <c r="F291">
        <v>-1</v>
      </c>
      <c r="G291">
        <v>-1</v>
      </c>
      <c r="H291">
        <v>0</v>
      </c>
      <c r="I291">
        <v>3600.0768370000001</v>
      </c>
      <c r="K291">
        <v>1</v>
      </c>
      <c r="M291">
        <v>100000</v>
      </c>
      <c r="N291">
        <v>1E-3</v>
      </c>
      <c r="O291">
        <v>-1</v>
      </c>
      <c r="Q291">
        <v>-1</v>
      </c>
      <c r="R291">
        <v>-1</v>
      </c>
      <c r="S291">
        <v>-1</v>
      </c>
      <c r="T291">
        <v>7.9611000000000001E-2</v>
      </c>
      <c r="U291">
        <v>-1</v>
      </c>
      <c r="V291">
        <v>-1</v>
      </c>
      <c r="W291">
        <v>0</v>
      </c>
      <c r="X291">
        <v>3599.9715679999999</v>
      </c>
      <c r="Z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</row>
    <row r="292" spans="1:39" x14ac:dyDescent="0.3">
      <c r="A292" t="s">
        <v>161</v>
      </c>
      <c r="B292">
        <v>15207.997230000001</v>
      </c>
      <c r="C292">
        <v>8.0402000000000001E-2</v>
      </c>
      <c r="D292">
        <v>0</v>
      </c>
      <c r="E292">
        <v>115209.9972</v>
      </c>
      <c r="F292">
        <v>-1</v>
      </c>
      <c r="G292">
        <v>100002</v>
      </c>
      <c r="H292">
        <v>15207.997230000001</v>
      </c>
      <c r="I292">
        <v>5447.1794050000008</v>
      </c>
      <c r="K292">
        <v>1</v>
      </c>
      <c r="M292">
        <v>100000</v>
      </c>
      <c r="N292">
        <v>115209.9972</v>
      </c>
      <c r="O292">
        <v>-1</v>
      </c>
      <c r="Q292">
        <v>1</v>
      </c>
      <c r="R292">
        <v>-1</v>
      </c>
      <c r="S292">
        <v>-1</v>
      </c>
      <c r="T292">
        <v>0</v>
      </c>
      <c r="U292">
        <v>-1</v>
      </c>
      <c r="V292">
        <v>-1</v>
      </c>
      <c r="W292">
        <v>0</v>
      </c>
      <c r="X292">
        <v>1254.1229530000001</v>
      </c>
      <c r="Z292">
        <v>4192.9760500000002</v>
      </c>
      <c r="AB292">
        <v>1</v>
      </c>
      <c r="AC292">
        <v>4895</v>
      </c>
      <c r="AD292">
        <v>98</v>
      </c>
      <c r="AE292">
        <v>4173</v>
      </c>
      <c r="AF292">
        <v>410</v>
      </c>
      <c r="AG292">
        <v>4895</v>
      </c>
      <c r="AH292">
        <v>98</v>
      </c>
      <c r="AI292">
        <v>4173</v>
      </c>
      <c r="AJ292">
        <v>410</v>
      </c>
      <c r="AK292">
        <v>3253.085</v>
      </c>
      <c r="AL292">
        <v>410</v>
      </c>
      <c r="AM292">
        <v>7.9343539999999999</v>
      </c>
    </row>
    <row r="293" spans="1:39" x14ac:dyDescent="0.3">
      <c r="A293" t="s">
        <v>128</v>
      </c>
      <c r="B293">
        <v>15451.99955</v>
      </c>
      <c r="C293">
        <v>6.4458000000000001E-2</v>
      </c>
      <c r="D293">
        <v>0</v>
      </c>
      <c r="E293">
        <v>-1</v>
      </c>
      <c r="F293">
        <v>-1</v>
      </c>
      <c r="G293">
        <v>-1</v>
      </c>
      <c r="H293">
        <v>0</v>
      </c>
      <c r="I293">
        <v>3600.1511309999996</v>
      </c>
      <c r="K293">
        <v>1</v>
      </c>
      <c r="M293">
        <v>100000</v>
      </c>
      <c r="N293">
        <v>1E-3</v>
      </c>
      <c r="O293">
        <v>-1</v>
      </c>
      <c r="Q293">
        <v>-1</v>
      </c>
      <c r="R293">
        <v>-1</v>
      </c>
      <c r="S293">
        <v>-1</v>
      </c>
      <c r="T293">
        <v>3.4600000000000001E-4</v>
      </c>
      <c r="U293">
        <v>-1</v>
      </c>
      <c r="V293">
        <v>-1</v>
      </c>
      <c r="W293">
        <v>0</v>
      </c>
      <c r="X293">
        <v>3600.0866729999998</v>
      </c>
      <c r="Z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</row>
    <row r="294" spans="1:39" x14ac:dyDescent="0.3">
      <c r="A294" t="s">
        <v>129</v>
      </c>
      <c r="B294">
        <v>15500.002119999999</v>
      </c>
      <c r="C294">
        <v>8.8227E-2</v>
      </c>
      <c r="D294">
        <v>0</v>
      </c>
      <c r="E294">
        <v>-1</v>
      </c>
      <c r="F294">
        <v>-1</v>
      </c>
      <c r="G294">
        <v>-1</v>
      </c>
      <c r="H294">
        <v>0</v>
      </c>
      <c r="I294">
        <v>3600.2691360000003</v>
      </c>
      <c r="K294">
        <v>1</v>
      </c>
      <c r="M294">
        <v>100000</v>
      </c>
      <c r="N294">
        <v>1E-3</v>
      </c>
      <c r="O294">
        <v>-1</v>
      </c>
      <c r="Q294">
        <v>-1</v>
      </c>
      <c r="R294">
        <v>-1</v>
      </c>
      <c r="S294">
        <v>-1</v>
      </c>
      <c r="T294">
        <v>0.15678800000000001</v>
      </c>
      <c r="U294">
        <v>-1</v>
      </c>
      <c r="V294">
        <v>-1</v>
      </c>
      <c r="W294">
        <v>0</v>
      </c>
      <c r="X294">
        <v>3600.1809090000002</v>
      </c>
      <c r="Z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</row>
    <row r="295" spans="1:39" x14ac:dyDescent="0.3">
      <c r="A295" t="s">
        <v>165</v>
      </c>
      <c r="B295">
        <v>15483.999760000001</v>
      </c>
      <c r="C295">
        <v>9.6952999999999998E-2</v>
      </c>
      <c r="D295">
        <v>0</v>
      </c>
      <c r="E295">
        <v>-1</v>
      </c>
      <c r="F295">
        <v>-1</v>
      </c>
      <c r="G295">
        <v>-1</v>
      </c>
      <c r="H295">
        <v>0</v>
      </c>
      <c r="I295">
        <v>3600.1281060000001</v>
      </c>
      <c r="K295">
        <v>1</v>
      </c>
      <c r="M295">
        <v>100000</v>
      </c>
      <c r="N295">
        <v>1E-3</v>
      </c>
      <c r="O295">
        <v>-1</v>
      </c>
      <c r="Q295">
        <v>-1</v>
      </c>
      <c r="R295">
        <v>-1</v>
      </c>
      <c r="S295">
        <v>-1</v>
      </c>
      <c r="T295">
        <v>0.15399499999999999</v>
      </c>
      <c r="U295">
        <v>-1</v>
      </c>
      <c r="V295">
        <v>-1</v>
      </c>
      <c r="W295">
        <v>0</v>
      </c>
      <c r="X295">
        <v>3600.0311529999999</v>
      </c>
      <c r="Z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</row>
    <row r="296" spans="1:39" x14ac:dyDescent="0.3">
      <c r="A296" t="s">
        <v>166</v>
      </c>
      <c r="B296">
        <v>16299.99899</v>
      </c>
      <c r="C296">
        <v>9.6312999999999996E-2</v>
      </c>
      <c r="D296">
        <v>0</v>
      </c>
      <c r="E296">
        <v>-1</v>
      </c>
      <c r="F296">
        <v>-1</v>
      </c>
      <c r="G296">
        <v>-1</v>
      </c>
      <c r="H296">
        <v>0</v>
      </c>
      <c r="I296">
        <v>3600.1153199999999</v>
      </c>
      <c r="K296">
        <v>1</v>
      </c>
      <c r="M296">
        <v>100000</v>
      </c>
      <c r="N296">
        <v>1E-3</v>
      </c>
      <c r="O296">
        <v>-1</v>
      </c>
      <c r="Q296">
        <v>-1</v>
      </c>
      <c r="R296">
        <v>-1</v>
      </c>
      <c r="S296">
        <v>-1</v>
      </c>
      <c r="T296">
        <v>0.201767</v>
      </c>
      <c r="U296">
        <v>-1</v>
      </c>
      <c r="V296">
        <v>-1</v>
      </c>
      <c r="W296">
        <v>0</v>
      </c>
      <c r="X296">
        <v>3600.0190069999999</v>
      </c>
      <c r="Z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</row>
    <row r="297" spans="1:39" x14ac:dyDescent="0.3">
      <c r="A297" t="s">
        <v>167</v>
      </c>
      <c r="B297">
        <v>15488.00029</v>
      </c>
      <c r="C297">
        <v>6.1269999999999998E-2</v>
      </c>
      <c r="D297">
        <v>0</v>
      </c>
      <c r="E297">
        <v>-1</v>
      </c>
      <c r="F297">
        <v>-1</v>
      </c>
      <c r="G297">
        <v>-1</v>
      </c>
      <c r="H297">
        <v>0</v>
      </c>
      <c r="I297">
        <v>3600.0227730000001</v>
      </c>
      <c r="K297">
        <v>1</v>
      </c>
      <c r="M297">
        <v>100000</v>
      </c>
      <c r="N297">
        <v>1E-3</v>
      </c>
      <c r="O297">
        <v>-1</v>
      </c>
      <c r="Q297">
        <v>-1</v>
      </c>
      <c r="R297">
        <v>-1</v>
      </c>
      <c r="S297">
        <v>-1</v>
      </c>
      <c r="T297">
        <v>7.9696000000000003E-2</v>
      </c>
      <c r="U297">
        <v>-1</v>
      </c>
      <c r="V297">
        <v>-1</v>
      </c>
      <c r="W297">
        <v>0</v>
      </c>
      <c r="X297">
        <v>3599.961503</v>
      </c>
      <c r="Z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</row>
    <row r="298" spans="1:39" x14ac:dyDescent="0.3">
      <c r="A298" t="s">
        <v>130</v>
      </c>
      <c r="B298">
        <v>15488.00115</v>
      </c>
      <c r="C298">
        <v>0.10291599999999999</v>
      </c>
      <c r="D298">
        <v>0</v>
      </c>
      <c r="E298">
        <v>115490.0012</v>
      </c>
      <c r="F298">
        <v>-1</v>
      </c>
      <c r="G298">
        <v>100002</v>
      </c>
      <c r="H298">
        <v>15488.00115</v>
      </c>
      <c r="I298">
        <v>3613.8215929999997</v>
      </c>
      <c r="K298">
        <v>1</v>
      </c>
      <c r="M298">
        <v>100000</v>
      </c>
      <c r="N298">
        <v>115490.0012</v>
      </c>
      <c r="O298">
        <v>-1</v>
      </c>
      <c r="Q298">
        <v>1</v>
      </c>
      <c r="R298">
        <v>-1</v>
      </c>
      <c r="S298">
        <v>-1</v>
      </c>
      <c r="T298">
        <v>0</v>
      </c>
      <c r="U298">
        <v>-1</v>
      </c>
      <c r="V298">
        <v>-1</v>
      </c>
      <c r="W298">
        <v>0</v>
      </c>
      <c r="X298">
        <v>1286.7873199999999</v>
      </c>
      <c r="Z298">
        <v>2326.9313569999999</v>
      </c>
      <c r="AB298">
        <v>1</v>
      </c>
      <c r="AC298">
        <v>10617</v>
      </c>
      <c r="AD298">
        <v>93</v>
      </c>
      <c r="AE298">
        <v>23292</v>
      </c>
      <c r="AF298">
        <v>48</v>
      </c>
      <c r="AG298">
        <v>10617</v>
      </c>
      <c r="AH298">
        <v>93</v>
      </c>
      <c r="AI298">
        <v>23292</v>
      </c>
      <c r="AJ298">
        <v>48</v>
      </c>
      <c r="AK298">
        <v>384.55399999999997</v>
      </c>
      <c r="AL298">
        <v>48</v>
      </c>
      <c r="AM298">
        <v>8.0115420000000004</v>
      </c>
    </row>
    <row r="299" spans="1:39" x14ac:dyDescent="0.3">
      <c r="A299" t="s">
        <v>132</v>
      </c>
      <c r="B299">
        <v>15424.001490000001</v>
      </c>
      <c r="C299">
        <v>0.106141</v>
      </c>
      <c r="D299">
        <v>0</v>
      </c>
      <c r="E299">
        <v>115428.0015</v>
      </c>
      <c r="F299">
        <v>-1</v>
      </c>
      <c r="G299">
        <v>100004</v>
      </c>
      <c r="H299">
        <v>15424.001490000001</v>
      </c>
      <c r="I299">
        <v>3600.197216</v>
      </c>
      <c r="K299">
        <v>1</v>
      </c>
      <c r="M299">
        <v>100000</v>
      </c>
      <c r="N299">
        <v>115428.0015</v>
      </c>
      <c r="O299">
        <v>-1</v>
      </c>
      <c r="Q299">
        <v>1</v>
      </c>
      <c r="R299">
        <v>-1</v>
      </c>
      <c r="S299">
        <v>-1</v>
      </c>
      <c r="T299">
        <v>0</v>
      </c>
      <c r="U299">
        <v>-1</v>
      </c>
      <c r="V299">
        <v>-1</v>
      </c>
      <c r="W299">
        <v>0</v>
      </c>
      <c r="X299">
        <v>1768.8337759999999</v>
      </c>
      <c r="Z299">
        <v>1831.2572990000001</v>
      </c>
      <c r="AB299">
        <v>1</v>
      </c>
      <c r="AC299">
        <v>6935</v>
      </c>
      <c r="AD299">
        <v>109</v>
      </c>
      <c r="AE299">
        <v>14860</v>
      </c>
      <c r="AF299">
        <v>8</v>
      </c>
      <c r="AG299">
        <v>6935</v>
      </c>
      <c r="AH299">
        <v>109</v>
      </c>
      <c r="AI299">
        <v>14860</v>
      </c>
      <c r="AJ299">
        <v>8</v>
      </c>
      <c r="AK299">
        <v>63.905999999999999</v>
      </c>
      <c r="AL299">
        <v>8</v>
      </c>
      <c r="AM299">
        <v>7.9882499999999999</v>
      </c>
    </row>
    <row r="300" spans="1:39" x14ac:dyDescent="0.3">
      <c r="A300" t="s">
        <v>133</v>
      </c>
      <c r="B300">
        <v>15275.99654</v>
      </c>
      <c r="C300">
        <v>0.1074</v>
      </c>
      <c r="D300">
        <v>0</v>
      </c>
      <c r="E300">
        <v>115277.99649999999</v>
      </c>
      <c r="F300">
        <v>-1</v>
      </c>
      <c r="G300">
        <v>100002</v>
      </c>
      <c r="H300">
        <v>15275.99654</v>
      </c>
      <c r="I300">
        <v>3600.0883650000001</v>
      </c>
      <c r="K300">
        <v>1</v>
      </c>
      <c r="M300">
        <v>100000</v>
      </c>
      <c r="N300">
        <v>115277.99649999999</v>
      </c>
      <c r="O300">
        <v>-1</v>
      </c>
      <c r="Q300">
        <v>1</v>
      </c>
      <c r="R300">
        <v>-1</v>
      </c>
      <c r="S300">
        <v>-1</v>
      </c>
      <c r="T300">
        <v>0</v>
      </c>
      <c r="U300">
        <v>-1</v>
      </c>
      <c r="V300">
        <v>-1</v>
      </c>
      <c r="W300">
        <v>0</v>
      </c>
      <c r="X300">
        <v>3246.9995840000001</v>
      </c>
      <c r="Z300">
        <v>352.981381</v>
      </c>
      <c r="AB300">
        <v>1</v>
      </c>
      <c r="AC300">
        <v>8374</v>
      </c>
      <c r="AD300">
        <v>0</v>
      </c>
      <c r="AE300">
        <v>0</v>
      </c>
      <c r="AF300">
        <v>0</v>
      </c>
      <c r="AG300">
        <v>8374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</row>
    <row r="301" spans="1:39" s="1" customFormat="1" x14ac:dyDescent="0.3">
      <c r="A301" s="1" t="s">
        <v>124</v>
      </c>
      <c r="B301" s="1">
        <v>15464.000910000001</v>
      </c>
      <c r="C301" s="1">
        <v>0.16336600000000001</v>
      </c>
      <c r="D301" s="1">
        <v>0</v>
      </c>
      <c r="E301" s="1">
        <v>-1</v>
      </c>
      <c r="F301" s="1">
        <v>-1</v>
      </c>
      <c r="G301" s="1">
        <v>-1</v>
      </c>
      <c r="H301" s="1">
        <v>0</v>
      </c>
      <c r="I301" s="1">
        <v>3600.1037080000001</v>
      </c>
      <c r="K301" s="1">
        <v>1</v>
      </c>
      <c r="M301" s="1">
        <v>100000</v>
      </c>
      <c r="N301" s="1">
        <v>1E-3</v>
      </c>
      <c r="O301" s="1">
        <v>-1</v>
      </c>
      <c r="Q301" s="1">
        <v>-1</v>
      </c>
      <c r="R301" s="1">
        <v>-1</v>
      </c>
      <c r="S301" s="1">
        <v>-1</v>
      </c>
      <c r="T301" s="1">
        <v>7.9711000000000004E-2</v>
      </c>
      <c r="U301" s="1">
        <v>-1</v>
      </c>
      <c r="V301" s="1">
        <v>-1</v>
      </c>
      <c r="W301" s="1">
        <v>0</v>
      </c>
      <c r="X301" s="1">
        <v>3599.9403419999999</v>
      </c>
      <c r="Z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</row>
    <row r="302" spans="1:39" x14ac:dyDescent="0.3">
      <c r="A302" t="s">
        <v>345</v>
      </c>
      <c r="B302">
        <v>16917.27519</v>
      </c>
      <c r="C302">
        <v>9.0370000000000006E-2</v>
      </c>
      <c r="D302">
        <v>0</v>
      </c>
      <c r="E302">
        <v>126920.2752</v>
      </c>
      <c r="F302">
        <v>16917.27519</v>
      </c>
      <c r="G302">
        <v>110003</v>
      </c>
      <c r="H302">
        <v>16917.27519</v>
      </c>
      <c r="I302">
        <v>2518.557468</v>
      </c>
      <c r="J302">
        <v>2518.557468</v>
      </c>
      <c r="K302">
        <v>1</v>
      </c>
      <c r="L302">
        <v>1</v>
      </c>
      <c r="M302">
        <v>126920.2752</v>
      </c>
      <c r="N302">
        <v>126920.2752</v>
      </c>
      <c r="O302">
        <v>1</v>
      </c>
      <c r="P302">
        <v>1</v>
      </c>
      <c r="Q302">
        <v>1</v>
      </c>
      <c r="R302">
        <v>1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888.31858399999999</v>
      </c>
      <c r="Y302">
        <v>888.31858399999999</v>
      </c>
      <c r="Z302">
        <v>1630.148514</v>
      </c>
      <c r="AA302">
        <v>1630.148514</v>
      </c>
      <c r="AB302">
        <v>1</v>
      </c>
      <c r="AC302">
        <v>10157</v>
      </c>
      <c r="AD302">
        <v>82</v>
      </c>
      <c r="AE302">
        <v>11710</v>
      </c>
      <c r="AF302">
        <v>21</v>
      </c>
      <c r="AG302">
        <v>10157</v>
      </c>
      <c r="AH302">
        <v>82</v>
      </c>
      <c r="AI302">
        <v>11710</v>
      </c>
      <c r="AJ302">
        <v>21</v>
      </c>
      <c r="AK302">
        <v>258.90100000000001</v>
      </c>
      <c r="AL302">
        <v>22</v>
      </c>
      <c r="AM302">
        <v>11.768227</v>
      </c>
    </row>
    <row r="303" spans="1:39" x14ac:dyDescent="0.3">
      <c r="A303" t="s">
        <v>360</v>
      </c>
      <c r="B303">
        <v>17055.454269999998</v>
      </c>
      <c r="C303">
        <v>6.2439000000000001E-2</v>
      </c>
      <c r="D303">
        <v>0</v>
      </c>
      <c r="E303">
        <v>127059.4543</v>
      </c>
      <c r="F303">
        <v>-1</v>
      </c>
      <c r="G303">
        <v>110004</v>
      </c>
      <c r="H303">
        <v>17055.454269999998</v>
      </c>
      <c r="I303">
        <v>3600.4948169999998</v>
      </c>
      <c r="K303">
        <v>1</v>
      </c>
      <c r="M303">
        <v>1000000</v>
      </c>
      <c r="N303">
        <v>127059.4543</v>
      </c>
      <c r="O303">
        <v>-1</v>
      </c>
      <c r="Q303">
        <v>1</v>
      </c>
      <c r="R303">
        <v>-1</v>
      </c>
      <c r="S303">
        <v>-1</v>
      </c>
      <c r="T303">
        <v>0</v>
      </c>
      <c r="U303">
        <v>-1</v>
      </c>
      <c r="V303">
        <v>-1</v>
      </c>
      <c r="W303">
        <v>0</v>
      </c>
      <c r="X303">
        <v>560.99951099999998</v>
      </c>
      <c r="Z303">
        <v>3039.432867</v>
      </c>
      <c r="AB303">
        <v>1</v>
      </c>
      <c r="AC303">
        <v>28085</v>
      </c>
      <c r="AD303">
        <v>120</v>
      </c>
      <c r="AE303">
        <v>28141</v>
      </c>
      <c r="AF303">
        <v>2</v>
      </c>
      <c r="AG303">
        <v>28085</v>
      </c>
      <c r="AH303">
        <v>120</v>
      </c>
      <c r="AI303">
        <v>28141</v>
      </c>
      <c r="AJ303">
        <v>2</v>
      </c>
      <c r="AK303">
        <v>13.973000000000001</v>
      </c>
      <c r="AL303">
        <v>2</v>
      </c>
      <c r="AM303">
        <v>6.9865000000000004</v>
      </c>
    </row>
    <row r="304" spans="1:39" x14ac:dyDescent="0.3">
      <c r="A304" t="s">
        <v>361</v>
      </c>
      <c r="B304">
        <v>16982.72624</v>
      </c>
      <c r="C304">
        <v>7.1855000000000002E-2</v>
      </c>
      <c r="D304">
        <v>0</v>
      </c>
      <c r="E304">
        <v>126984.7262</v>
      </c>
      <c r="F304">
        <v>-1</v>
      </c>
      <c r="G304">
        <v>110002</v>
      </c>
      <c r="H304">
        <v>16982.72624</v>
      </c>
      <c r="I304">
        <v>3600.2169400000002</v>
      </c>
      <c r="K304">
        <v>1</v>
      </c>
      <c r="M304">
        <v>1000000</v>
      </c>
      <c r="N304">
        <v>126984.7262</v>
      </c>
      <c r="O304">
        <v>-1</v>
      </c>
      <c r="Q304">
        <v>1</v>
      </c>
      <c r="R304">
        <v>-1</v>
      </c>
      <c r="S304">
        <v>-1</v>
      </c>
      <c r="T304">
        <v>0</v>
      </c>
      <c r="U304">
        <v>-1</v>
      </c>
      <c r="V304">
        <v>-1</v>
      </c>
      <c r="W304">
        <v>0</v>
      </c>
      <c r="X304">
        <v>3146.601619</v>
      </c>
      <c r="Z304">
        <v>453.54346600000002</v>
      </c>
      <c r="AB304">
        <v>1</v>
      </c>
      <c r="AC304">
        <v>3450</v>
      </c>
      <c r="AD304">
        <v>0</v>
      </c>
      <c r="AE304">
        <v>0</v>
      </c>
      <c r="AF304">
        <v>0</v>
      </c>
      <c r="AG304">
        <v>3450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</row>
    <row r="305" spans="1:39" x14ac:dyDescent="0.3">
      <c r="A305" t="s">
        <v>359</v>
      </c>
      <c r="B305">
        <v>16996.361959999998</v>
      </c>
      <c r="C305">
        <v>6.8390999999999993E-2</v>
      </c>
      <c r="D305">
        <v>0</v>
      </c>
      <c r="E305">
        <v>-1</v>
      </c>
      <c r="F305">
        <v>-1</v>
      </c>
      <c r="G305">
        <v>-1</v>
      </c>
      <c r="H305">
        <v>0</v>
      </c>
      <c r="I305">
        <v>3600.2997869999999</v>
      </c>
      <c r="K305">
        <v>1</v>
      </c>
      <c r="M305">
        <v>1000000</v>
      </c>
      <c r="N305">
        <v>1E-3</v>
      </c>
      <c r="O305">
        <v>-1</v>
      </c>
      <c r="Q305">
        <v>-1</v>
      </c>
      <c r="R305">
        <v>-1</v>
      </c>
      <c r="S305">
        <v>-1</v>
      </c>
      <c r="T305">
        <v>7.3000999999999996E-2</v>
      </c>
      <c r="U305">
        <v>-1</v>
      </c>
      <c r="V305">
        <v>-1</v>
      </c>
      <c r="W305">
        <v>0</v>
      </c>
      <c r="X305">
        <v>3600.2313960000001</v>
      </c>
      <c r="Z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</row>
    <row r="306" spans="1:39" x14ac:dyDescent="0.3">
      <c r="A306" t="s">
        <v>362</v>
      </c>
      <c r="B306">
        <v>16982.727320000002</v>
      </c>
      <c r="C306">
        <v>6.0283000000000003E-2</v>
      </c>
      <c r="D306">
        <v>0</v>
      </c>
      <c r="E306">
        <v>-1</v>
      </c>
      <c r="F306">
        <v>-1</v>
      </c>
      <c r="G306">
        <v>-1</v>
      </c>
      <c r="H306">
        <v>0</v>
      </c>
      <c r="I306">
        <v>3600.1394179999998</v>
      </c>
      <c r="K306">
        <v>1</v>
      </c>
      <c r="M306">
        <v>1000000</v>
      </c>
      <c r="N306">
        <v>1E-3</v>
      </c>
      <c r="O306">
        <v>-1</v>
      </c>
      <c r="Q306">
        <v>-1</v>
      </c>
      <c r="R306">
        <v>-1</v>
      </c>
      <c r="S306">
        <v>-1</v>
      </c>
      <c r="T306">
        <v>6.2937000000000007E-2</v>
      </c>
      <c r="U306">
        <v>-1</v>
      </c>
      <c r="V306">
        <v>-1</v>
      </c>
      <c r="W306">
        <v>0</v>
      </c>
      <c r="X306">
        <v>3600.079135</v>
      </c>
      <c r="Z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</row>
    <row r="307" spans="1:39" x14ac:dyDescent="0.3">
      <c r="A307" t="s">
        <v>363</v>
      </c>
      <c r="B307">
        <v>17032.72219</v>
      </c>
      <c r="C307">
        <v>7.4525999999999995E-2</v>
      </c>
      <c r="D307">
        <v>0</v>
      </c>
      <c r="E307">
        <v>-1</v>
      </c>
      <c r="F307">
        <v>-1</v>
      </c>
      <c r="G307">
        <v>-1</v>
      </c>
      <c r="H307">
        <v>0</v>
      </c>
      <c r="I307">
        <v>3600.1067419999999</v>
      </c>
      <c r="K307">
        <v>1</v>
      </c>
      <c r="M307">
        <v>1000000</v>
      </c>
      <c r="N307">
        <v>1E-3</v>
      </c>
      <c r="O307">
        <v>-1</v>
      </c>
      <c r="Q307">
        <v>-1</v>
      </c>
      <c r="R307">
        <v>-1</v>
      </c>
      <c r="S307">
        <v>-1</v>
      </c>
      <c r="T307">
        <v>0.11855400000000001</v>
      </c>
      <c r="U307">
        <v>-1</v>
      </c>
      <c r="V307">
        <v>-1</v>
      </c>
      <c r="W307">
        <v>0</v>
      </c>
      <c r="X307">
        <v>3600.0322160000001</v>
      </c>
      <c r="Z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</row>
    <row r="308" spans="1:39" x14ac:dyDescent="0.3">
      <c r="A308" t="s">
        <v>364</v>
      </c>
      <c r="B308">
        <v>16986.36536</v>
      </c>
      <c r="C308">
        <v>6.5457000000000001E-2</v>
      </c>
      <c r="D308">
        <v>0</v>
      </c>
      <c r="E308">
        <v>-1</v>
      </c>
      <c r="F308">
        <v>-1</v>
      </c>
      <c r="G308">
        <v>-1</v>
      </c>
      <c r="H308">
        <v>0</v>
      </c>
      <c r="I308">
        <v>3600.1242030000003</v>
      </c>
      <c r="K308">
        <v>1</v>
      </c>
      <c r="M308">
        <v>1000000</v>
      </c>
      <c r="N308">
        <v>1E-3</v>
      </c>
      <c r="O308">
        <v>-1</v>
      </c>
      <c r="Q308">
        <v>-1</v>
      </c>
      <c r="R308">
        <v>-1</v>
      </c>
      <c r="S308">
        <v>-1</v>
      </c>
      <c r="T308">
        <v>0.144845</v>
      </c>
      <c r="U308">
        <v>-1</v>
      </c>
      <c r="V308">
        <v>-1</v>
      </c>
      <c r="W308">
        <v>0</v>
      </c>
      <c r="X308">
        <v>3600.0587460000002</v>
      </c>
      <c r="Z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</row>
    <row r="309" spans="1:39" x14ac:dyDescent="0.3">
      <c r="A309" t="s">
        <v>366</v>
      </c>
      <c r="B309">
        <v>16917.27519</v>
      </c>
      <c r="C309">
        <v>9.4544000000000003E-2</v>
      </c>
      <c r="D309">
        <v>0</v>
      </c>
      <c r="E309">
        <v>126919.2752</v>
      </c>
      <c r="F309">
        <v>-1</v>
      </c>
      <c r="G309">
        <v>110002</v>
      </c>
      <c r="H309">
        <v>16917.27519</v>
      </c>
      <c r="I309">
        <v>3613.8595660000001</v>
      </c>
      <c r="K309">
        <v>1</v>
      </c>
      <c r="M309">
        <v>1000000</v>
      </c>
      <c r="N309">
        <v>126919.2752</v>
      </c>
      <c r="O309">
        <v>-1</v>
      </c>
      <c r="Q309">
        <v>1</v>
      </c>
      <c r="R309">
        <v>-1</v>
      </c>
      <c r="S309">
        <v>-1</v>
      </c>
      <c r="T309">
        <v>0</v>
      </c>
      <c r="U309">
        <v>-1</v>
      </c>
      <c r="V309">
        <v>-1</v>
      </c>
      <c r="W309">
        <v>0</v>
      </c>
      <c r="X309">
        <v>2018.716326</v>
      </c>
      <c r="Z309">
        <v>1595.0486960000001</v>
      </c>
      <c r="AB309">
        <v>1</v>
      </c>
      <c r="AC309">
        <v>26290</v>
      </c>
      <c r="AD309">
        <v>103</v>
      </c>
      <c r="AE309">
        <v>3313</v>
      </c>
      <c r="AF309">
        <v>3</v>
      </c>
      <c r="AG309">
        <v>26290</v>
      </c>
      <c r="AH309">
        <v>103</v>
      </c>
      <c r="AI309">
        <v>3313</v>
      </c>
      <c r="AJ309">
        <v>3</v>
      </c>
      <c r="AK309">
        <v>35.057000000000002</v>
      </c>
      <c r="AL309">
        <v>3</v>
      </c>
      <c r="AM309">
        <v>11.685667</v>
      </c>
    </row>
    <row r="310" spans="1:39" x14ac:dyDescent="0.3">
      <c r="A310" t="s">
        <v>367</v>
      </c>
      <c r="B310">
        <v>16980.905040000001</v>
      </c>
      <c r="C310">
        <v>7.1351999999999999E-2</v>
      </c>
      <c r="D310">
        <v>0</v>
      </c>
      <c r="E310">
        <v>-1</v>
      </c>
      <c r="F310">
        <v>-1</v>
      </c>
      <c r="G310">
        <v>-1</v>
      </c>
      <c r="H310">
        <v>0</v>
      </c>
      <c r="I310">
        <v>3600.1248019999998</v>
      </c>
      <c r="K310">
        <v>1</v>
      </c>
      <c r="M310">
        <v>1000000</v>
      </c>
      <c r="N310">
        <v>1E-3</v>
      </c>
      <c r="O310">
        <v>-1</v>
      </c>
      <c r="Q310">
        <v>-1</v>
      </c>
      <c r="R310">
        <v>-1</v>
      </c>
      <c r="S310">
        <v>-1</v>
      </c>
      <c r="T310">
        <v>7.3023000000000005E-2</v>
      </c>
      <c r="U310">
        <v>-1</v>
      </c>
      <c r="V310">
        <v>-1</v>
      </c>
      <c r="W310">
        <v>0</v>
      </c>
      <c r="X310">
        <v>3600.0534499999999</v>
      </c>
      <c r="Z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</row>
    <row r="311" spans="1:39" x14ac:dyDescent="0.3">
      <c r="A311" t="s">
        <v>368</v>
      </c>
      <c r="B311">
        <v>16799.997879999999</v>
      </c>
      <c r="C311">
        <v>7.2274000000000005E-2</v>
      </c>
      <c r="D311">
        <v>0</v>
      </c>
      <c r="E311">
        <v>-1</v>
      </c>
      <c r="F311">
        <v>-1</v>
      </c>
      <c r="G311">
        <v>-1</v>
      </c>
      <c r="H311">
        <v>0</v>
      </c>
      <c r="I311">
        <v>3600.0327030000003</v>
      </c>
      <c r="K311">
        <v>1</v>
      </c>
      <c r="M311">
        <v>1000000</v>
      </c>
      <c r="N311">
        <v>1E-3</v>
      </c>
      <c r="O311">
        <v>-1</v>
      </c>
      <c r="Q311">
        <v>-1</v>
      </c>
      <c r="R311">
        <v>-1</v>
      </c>
      <c r="S311">
        <v>-1</v>
      </c>
      <c r="T311">
        <v>0.126863</v>
      </c>
      <c r="U311">
        <v>-1</v>
      </c>
      <c r="V311">
        <v>-1</v>
      </c>
      <c r="W311">
        <v>0</v>
      </c>
      <c r="X311">
        <v>3599.9604290000002</v>
      </c>
      <c r="Z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</row>
    <row r="312" spans="1:39" x14ac:dyDescent="0.3">
      <c r="A312" t="s">
        <v>369</v>
      </c>
      <c r="B312">
        <v>17054.542290000001</v>
      </c>
      <c r="C312">
        <v>6.1245000000000001E-2</v>
      </c>
      <c r="D312">
        <v>0</v>
      </c>
      <c r="E312">
        <v>127056.5423</v>
      </c>
      <c r="F312">
        <v>-1</v>
      </c>
      <c r="G312">
        <v>110002</v>
      </c>
      <c r="H312">
        <v>17054.542290000001</v>
      </c>
      <c r="I312">
        <v>3601.1833630000001</v>
      </c>
      <c r="K312">
        <v>1</v>
      </c>
      <c r="M312">
        <v>1000000</v>
      </c>
      <c r="N312">
        <v>127056.5423</v>
      </c>
      <c r="O312">
        <v>-1</v>
      </c>
      <c r="Q312">
        <v>1</v>
      </c>
      <c r="R312">
        <v>-1</v>
      </c>
      <c r="S312">
        <v>-1</v>
      </c>
      <c r="T312">
        <v>0</v>
      </c>
      <c r="U312">
        <v>-1</v>
      </c>
      <c r="V312">
        <v>-1</v>
      </c>
      <c r="W312">
        <v>0</v>
      </c>
      <c r="X312">
        <v>1596.8358559999999</v>
      </c>
      <c r="Z312">
        <v>2004.2862620000001</v>
      </c>
      <c r="AB312">
        <v>1</v>
      </c>
      <c r="AC312">
        <v>30798</v>
      </c>
      <c r="AD312">
        <v>83</v>
      </c>
      <c r="AE312">
        <v>3001</v>
      </c>
      <c r="AF312">
        <v>0</v>
      </c>
      <c r="AG312">
        <v>30798</v>
      </c>
      <c r="AH312">
        <v>83</v>
      </c>
      <c r="AI312">
        <v>3001</v>
      </c>
      <c r="AJ312">
        <v>0</v>
      </c>
      <c r="AK312">
        <v>0</v>
      </c>
      <c r="AL312">
        <v>0</v>
      </c>
      <c r="AM312">
        <v>0</v>
      </c>
    </row>
    <row r="313" spans="1:39" x14ac:dyDescent="0.3">
      <c r="A313" t="s">
        <v>370</v>
      </c>
      <c r="B313">
        <v>16887.26872</v>
      </c>
      <c r="C313">
        <v>7.0963999999999999E-2</v>
      </c>
      <c r="D313">
        <v>0</v>
      </c>
      <c r="E313">
        <v>-1</v>
      </c>
      <c r="F313">
        <v>-1</v>
      </c>
      <c r="G313">
        <v>-1</v>
      </c>
      <c r="H313">
        <v>0</v>
      </c>
      <c r="I313">
        <v>3600.073566</v>
      </c>
      <c r="K313">
        <v>1</v>
      </c>
      <c r="M313">
        <v>1000000</v>
      </c>
      <c r="N313">
        <v>1E-3</v>
      </c>
      <c r="O313">
        <v>-1</v>
      </c>
      <c r="Q313">
        <v>-1</v>
      </c>
      <c r="R313">
        <v>-1</v>
      </c>
      <c r="S313">
        <v>-1</v>
      </c>
      <c r="T313">
        <v>0.14607500000000001</v>
      </c>
      <c r="U313">
        <v>-1</v>
      </c>
      <c r="V313">
        <v>-1</v>
      </c>
      <c r="W313">
        <v>0</v>
      </c>
      <c r="X313">
        <v>3600.002602</v>
      </c>
      <c r="Z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</row>
    <row r="314" spans="1:39" x14ac:dyDescent="0.3">
      <c r="A314" t="s">
        <v>371</v>
      </c>
      <c r="B314">
        <v>17015.457129999999</v>
      </c>
      <c r="C314">
        <v>6.5709000000000004E-2</v>
      </c>
      <c r="D314">
        <v>0</v>
      </c>
      <c r="E314">
        <v>127019.4571</v>
      </c>
      <c r="F314">
        <v>-1</v>
      </c>
      <c r="G314">
        <v>110004</v>
      </c>
      <c r="H314">
        <v>17015.457129999999</v>
      </c>
      <c r="I314">
        <v>3600.9373369999998</v>
      </c>
      <c r="K314">
        <v>1</v>
      </c>
      <c r="M314">
        <v>1000000</v>
      </c>
      <c r="N314">
        <v>127019.4571</v>
      </c>
      <c r="O314">
        <v>-1</v>
      </c>
      <c r="Q314">
        <v>1</v>
      </c>
      <c r="R314">
        <v>-1</v>
      </c>
      <c r="S314">
        <v>-1</v>
      </c>
      <c r="T314">
        <v>0</v>
      </c>
      <c r="U314">
        <v>-1</v>
      </c>
      <c r="V314">
        <v>-1</v>
      </c>
      <c r="W314">
        <v>0</v>
      </c>
      <c r="X314">
        <v>731.83250299999997</v>
      </c>
      <c r="Z314">
        <v>2869.0391249999998</v>
      </c>
      <c r="AB314">
        <v>1</v>
      </c>
      <c r="AC314">
        <v>21386</v>
      </c>
      <c r="AD314">
        <v>109</v>
      </c>
      <c r="AE314">
        <v>6159</v>
      </c>
      <c r="AF314">
        <v>2</v>
      </c>
      <c r="AG314">
        <v>21386</v>
      </c>
      <c r="AH314">
        <v>109</v>
      </c>
      <c r="AI314">
        <v>6159</v>
      </c>
      <c r="AJ314">
        <v>2</v>
      </c>
      <c r="AK314">
        <v>14.156000000000001</v>
      </c>
      <c r="AL314">
        <v>2</v>
      </c>
      <c r="AM314">
        <v>7.0780000000000003</v>
      </c>
    </row>
    <row r="315" spans="1:39" x14ac:dyDescent="0.3">
      <c r="A315" t="s">
        <v>372</v>
      </c>
      <c r="B315">
        <v>16973.634310000001</v>
      </c>
      <c r="C315">
        <v>8.9522000000000004E-2</v>
      </c>
      <c r="D315">
        <v>0</v>
      </c>
      <c r="E315">
        <v>-1</v>
      </c>
      <c r="F315">
        <v>-1</v>
      </c>
      <c r="G315">
        <v>-1</v>
      </c>
      <c r="H315">
        <v>0</v>
      </c>
      <c r="I315">
        <v>3600.2803510000003</v>
      </c>
      <c r="K315">
        <v>1</v>
      </c>
      <c r="M315">
        <v>1000000</v>
      </c>
      <c r="N315">
        <v>1E-3</v>
      </c>
      <c r="O315">
        <v>-1</v>
      </c>
      <c r="Q315">
        <v>-1</v>
      </c>
      <c r="R315">
        <v>-1</v>
      </c>
      <c r="S315">
        <v>-1</v>
      </c>
      <c r="T315">
        <v>0.145983</v>
      </c>
      <c r="U315">
        <v>-1</v>
      </c>
      <c r="V315">
        <v>-1</v>
      </c>
      <c r="W315">
        <v>0</v>
      </c>
      <c r="X315">
        <v>3600.1908290000001</v>
      </c>
      <c r="Z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</row>
    <row r="316" spans="1:39" x14ac:dyDescent="0.3">
      <c r="A316" t="s">
        <v>373</v>
      </c>
      <c r="B316">
        <v>16917.27519</v>
      </c>
      <c r="C316">
        <v>6.1811999999999999E-2</v>
      </c>
      <c r="D316">
        <v>0</v>
      </c>
      <c r="E316">
        <v>126919.2752</v>
      </c>
      <c r="F316">
        <v>-1</v>
      </c>
      <c r="G316">
        <v>110002</v>
      </c>
      <c r="H316">
        <v>16917.27519</v>
      </c>
      <c r="I316">
        <v>4031.312711</v>
      </c>
      <c r="K316">
        <v>1</v>
      </c>
      <c r="M316">
        <v>1000000</v>
      </c>
      <c r="N316">
        <v>126919.2752</v>
      </c>
      <c r="O316">
        <v>-1</v>
      </c>
      <c r="Q316">
        <v>1</v>
      </c>
      <c r="R316">
        <v>-1</v>
      </c>
      <c r="S316">
        <v>-1</v>
      </c>
      <c r="T316">
        <v>0</v>
      </c>
      <c r="U316">
        <v>-1</v>
      </c>
      <c r="V316">
        <v>-1</v>
      </c>
      <c r="W316">
        <v>0</v>
      </c>
      <c r="X316">
        <v>573.41305899999998</v>
      </c>
      <c r="Z316">
        <v>3457.8378400000001</v>
      </c>
      <c r="AB316">
        <v>1</v>
      </c>
      <c r="AC316">
        <v>55122</v>
      </c>
      <c r="AD316">
        <v>101</v>
      </c>
      <c r="AE316">
        <v>5624</v>
      </c>
      <c r="AF316">
        <v>172</v>
      </c>
      <c r="AG316">
        <v>55122</v>
      </c>
      <c r="AH316">
        <v>101</v>
      </c>
      <c r="AI316">
        <v>5624</v>
      </c>
      <c r="AJ316">
        <v>172</v>
      </c>
      <c r="AK316">
        <v>1191.32</v>
      </c>
      <c r="AL316">
        <v>172</v>
      </c>
      <c r="AM316">
        <v>6.9262790000000001</v>
      </c>
    </row>
    <row r="317" spans="1:39" x14ac:dyDescent="0.3">
      <c r="A317" t="s">
        <v>374</v>
      </c>
      <c r="B317">
        <v>16981.819200000002</v>
      </c>
      <c r="C317">
        <v>6.5230999999999997E-2</v>
      </c>
      <c r="D317">
        <v>0</v>
      </c>
      <c r="E317">
        <v>-1</v>
      </c>
      <c r="F317">
        <v>-1</v>
      </c>
      <c r="G317">
        <v>-1</v>
      </c>
      <c r="H317">
        <v>0</v>
      </c>
      <c r="I317">
        <v>3600.1146509999999</v>
      </c>
      <c r="K317">
        <v>1</v>
      </c>
      <c r="M317">
        <v>1000000</v>
      </c>
      <c r="N317">
        <v>1E-3</v>
      </c>
      <c r="O317">
        <v>-1</v>
      </c>
      <c r="Q317">
        <v>-1</v>
      </c>
      <c r="R317">
        <v>-1</v>
      </c>
      <c r="S317">
        <v>-1</v>
      </c>
      <c r="T317">
        <v>5.2502E-2</v>
      </c>
      <c r="U317">
        <v>-1</v>
      </c>
      <c r="V317">
        <v>-1</v>
      </c>
      <c r="W317">
        <v>0</v>
      </c>
      <c r="X317">
        <v>3600.0494199999998</v>
      </c>
      <c r="Z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</row>
    <row r="318" spans="1:39" x14ac:dyDescent="0.3">
      <c r="A318" t="s">
        <v>375</v>
      </c>
      <c r="B318">
        <v>17029.091</v>
      </c>
      <c r="C318">
        <v>9.1623999999999997E-2</v>
      </c>
      <c r="D318">
        <v>0</v>
      </c>
      <c r="E318">
        <v>127033.091</v>
      </c>
      <c r="F318">
        <v>-1</v>
      </c>
      <c r="G318">
        <v>110004</v>
      </c>
      <c r="H318">
        <v>17029.091</v>
      </c>
      <c r="I318">
        <v>3761.1913480000003</v>
      </c>
      <c r="K318">
        <v>1</v>
      </c>
      <c r="M318">
        <v>1000000</v>
      </c>
      <c r="N318">
        <v>127033.091</v>
      </c>
      <c r="O318">
        <v>-1</v>
      </c>
      <c r="Q318">
        <v>1</v>
      </c>
      <c r="R318">
        <v>-1</v>
      </c>
      <c r="S318">
        <v>-1</v>
      </c>
      <c r="T318">
        <v>0</v>
      </c>
      <c r="U318">
        <v>-1</v>
      </c>
      <c r="V318">
        <v>-1</v>
      </c>
      <c r="W318">
        <v>0</v>
      </c>
      <c r="X318">
        <v>947.697181</v>
      </c>
      <c r="Z318">
        <v>2813.4025430000002</v>
      </c>
      <c r="AB318">
        <v>1</v>
      </c>
      <c r="AC318">
        <v>18950</v>
      </c>
      <c r="AD318">
        <v>108</v>
      </c>
      <c r="AE318">
        <v>12572</v>
      </c>
      <c r="AF318">
        <v>112</v>
      </c>
      <c r="AG318">
        <v>18950</v>
      </c>
      <c r="AH318">
        <v>108</v>
      </c>
      <c r="AI318">
        <v>12572</v>
      </c>
      <c r="AJ318">
        <v>112</v>
      </c>
      <c r="AK318">
        <v>1290.885</v>
      </c>
      <c r="AL318">
        <v>112</v>
      </c>
      <c r="AM318">
        <v>11.525759000000001</v>
      </c>
    </row>
    <row r="319" spans="1:39" x14ac:dyDescent="0.3">
      <c r="A319" t="s">
        <v>376</v>
      </c>
      <c r="B319">
        <v>16986.365549999999</v>
      </c>
      <c r="C319">
        <v>9.7808000000000006E-2</v>
      </c>
      <c r="D319">
        <v>0</v>
      </c>
      <c r="E319">
        <v>126988.3656</v>
      </c>
      <c r="F319">
        <v>-1</v>
      </c>
      <c r="G319">
        <v>110002</v>
      </c>
      <c r="H319">
        <v>16986.365549999999</v>
      </c>
      <c r="I319">
        <v>3600.2642699999997</v>
      </c>
      <c r="K319">
        <v>1</v>
      </c>
      <c r="M319">
        <v>1000000</v>
      </c>
      <c r="N319">
        <v>126988.3656</v>
      </c>
      <c r="O319">
        <v>-1</v>
      </c>
      <c r="Q319">
        <v>1</v>
      </c>
      <c r="R319">
        <v>-1</v>
      </c>
      <c r="S319">
        <v>-1</v>
      </c>
      <c r="T319">
        <v>0</v>
      </c>
      <c r="U319">
        <v>-1</v>
      </c>
      <c r="V319">
        <v>-1</v>
      </c>
      <c r="W319">
        <v>0</v>
      </c>
      <c r="X319">
        <v>1642.655634</v>
      </c>
      <c r="Z319">
        <v>1957.5108279999999</v>
      </c>
      <c r="AB319">
        <v>1</v>
      </c>
      <c r="AC319">
        <v>11417</v>
      </c>
      <c r="AD319">
        <v>95</v>
      </c>
      <c r="AE319">
        <v>3713</v>
      </c>
      <c r="AF319">
        <v>0</v>
      </c>
      <c r="AG319">
        <v>11417</v>
      </c>
      <c r="AH319">
        <v>95</v>
      </c>
      <c r="AI319">
        <v>3713</v>
      </c>
      <c r="AJ319">
        <v>0</v>
      </c>
      <c r="AK319">
        <v>0</v>
      </c>
      <c r="AL319">
        <v>0</v>
      </c>
      <c r="AM319">
        <v>0</v>
      </c>
    </row>
    <row r="320" spans="1:39" x14ac:dyDescent="0.3">
      <c r="A320" t="s">
        <v>377</v>
      </c>
      <c r="B320">
        <v>16996.364870000001</v>
      </c>
      <c r="C320">
        <v>6.6216999999999998E-2</v>
      </c>
      <c r="D320">
        <v>0</v>
      </c>
      <c r="E320">
        <v>126999.3649</v>
      </c>
      <c r="F320">
        <v>-1</v>
      </c>
      <c r="G320">
        <v>110003</v>
      </c>
      <c r="H320">
        <v>16996.364870000001</v>
      </c>
      <c r="I320">
        <v>3600.986801</v>
      </c>
      <c r="K320">
        <v>1</v>
      </c>
      <c r="M320">
        <v>1000000</v>
      </c>
      <c r="N320">
        <v>126999.3649</v>
      </c>
      <c r="O320">
        <v>-1</v>
      </c>
      <c r="Q320">
        <v>1</v>
      </c>
      <c r="R320">
        <v>-1</v>
      </c>
      <c r="S320">
        <v>-1</v>
      </c>
      <c r="T320">
        <v>0</v>
      </c>
      <c r="U320">
        <v>-1</v>
      </c>
      <c r="V320">
        <v>-1</v>
      </c>
      <c r="W320">
        <v>0</v>
      </c>
      <c r="X320">
        <v>1905.6446960000001</v>
      </c>
      <c r="Z320">
        <v>1695.2758879999999</v>
      </c>
      <c r="AB320">
        <v>1</v>
      </c>
      <c r="AC320">
        <v>4999</v>
      </c>
      <c r="AD320">
        <v>109</v>
      </c>
      <c r="AE320">
        <v>7125</v>
      </c>
      <c r="AF320">
        <v>0</v>
      </c>
      <c r="AG320">
        <v>4999</v>
      </c>
      <c r="AH320">
        <v>109</v>
      </c>
      <c r="AI320">
        <v>7125</v>
      </c>
      <c r="AJ320">
        <v>0</v>
      </c>
      <c r="AK320">
        <v>0</v>
      </c>
      <c r="AL320">
        <v>0</v>
      </c>
      <c r="AM320">
        <v>0</v>
      </c>
    </row>
    <row r="321" spans="1:39" x14ac:dyDescent="0.3">
      <c r="A321" t="s">
        <v>378</v>
      </c>
      <c r="B321">
        <v>17090.003779999999</v>
      </c>
      <c r="C321">
        <v>0.104342</v>
      </c>
      <c r="D321">
        <v>0</v>
      </c>
      <c r="E321">
        <v>-1</v>
      </c>
      <c r="F321">
        <v>-1</v>
      </c>
      <c r="G321">
        <v>-1</v>
      </c>
      <c r="H321">
        <v>0</v>
      </c>
      <c r="I321">
        <v>3600.0365550000001</v>
      </c>
      <c r="K321">
        <v>1</v>
      </c>
      <c r="M321">
        <v>1000000</v>
      </c>
      <c r="N321">
        <v>1E-3</v>
      </c>
      <c r="O321">
        <v>-1</v>
      </c>
      <c r="Q321">
        <v>-1</v>
      </c>
      <c r="R321">
        <v>-1</v>
      </c>
      <c r="S321">
        <v>-1</v>
      </c>
      <c r="T321">
        <v>7.4652999999999997E-2</v>
      </c>
      <c r="U321">
        <v>-1</v>
      </c>
      <c r="V321">
        <v>-1</v>
      </c>
      <c r="W321">
        <v>0</v>
      </c>
      <c r="X321">
        <v>3599.932213</v>
      </c>
      <c r="Z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</row>
    <row r="322" spans="1:39" x14ac:dyDescent="0.3">
      <c r="A322" t="s">
        <v>379</v>
      </c>
      <c r="B322">
        <v>17113.634119999999</v>
      </c>
      <c r="C322">
        <v>8.5196999999999995E-2</v>
      </c>
      <c r="D322">
        <v>0</v>
      </c>
      <c r="E322">
        <v>127115.6341</v>
      </c>
      <c r="F322">
        <v>-1</v>
      </c>
      <c r="G322">
        <v>110002</v>
      </c>
      <c r="H322">
        <v>17113.634119999999</v>
      </c>
      <c r="I322">
        <v>3601.4148759999998</v>
      </c>
      <c r="K322">
        <v>1</v>
      </c>
      <c r="M322">
        <v>1000000</v>
      </c>
      <c r="N322">
        <v>127115.6341</v>
      </c>
      <c r="O322">
        <v>-1</v>
      </c>
      <c r="Q322">
        <v>1</v>
      </c>
      <c r="R322">
        <v>-1</v>
      </c>
      <c r="S322">
        <v>-1</v>
      </c>
      <c r="T322">
        <v>0</v>
      </c>
      <c r="U322">
        <v>-1</v>
      </c>
      <c r="V322">
        <v>-1</v>
      </c>
      <c r="W322">
        <v>0</v>
      </c>
      <c r="X322">
        <v>1146.2486260000001</v>
      </c>
      <c r="Z322">
        <v>2455.0810529999999</v>
      </c>
      <c r="AB322">
        <v>1</v>
      </c>
      <c r="AC322">
        <v>38052</v>
      </c>
      <c r="AD322">
        <v>79</v>
      </c>
      <c r="AE322">
        <v>2364</v>
      </c>
      <c r="AF322">
        <v>3</v>
      </c>
      <c r="AG322">
        <v>38052</v>
      </c>
      <c r="AH322">
        <v>79</v>
      </c>
      <c r="AI322">
        <v>2364</v>
      </c>
      <c r="AJ322">
        <v>3</v>
      </c>
      <c r="AK322">
        <v>35.75</v>
      </c>
      <c r="AL322">
        <v>3</v>
      </c>
      <c r="AM322">
        <v>11.916667</v>
      </c>
    </row>
    <row r="323" spans="1:39" x14ac:dyDescent="0.3">
      <c r="A323" t="s">
        <v>380</v>
      </c>
      <c r="B323">
        <v>16962.728589999999</v>
      </c>
      <c r="C323">
        <v>4.5163000000000002E-2</v>
      </c>
      <c r="D323">
        <v>0</v>
      </c>
      <c r="E323">
        <v>-1</v>
      </c>
      <c r="F323">
        <v>-1</v>
      </c>
      <c r="G323">
        <v>-1</v>
      </c>
      <c r="H323">
        <v>0</v>
      </c>
      <c r="I323">
        <v>3600.0233429999998</v>
      </c>
      <c r="K323">
        <v>1</v>
      </c>
      <c r="M323">
        <v>1000000</v>
      </c>
      <c r="N323">
        <v>1E-3</v>
      </c>
      <c r="O323">
        <v>-1</v>
      </c>
      <c r="Q323">
        <v>-1</v>
      </c>
      <c r="R323">
        <v>-1</v>
      </c>
      <c r="S323">
        <v>-1</v>
      </c>
      <c r="T323">
        <v>0.13892499999999999</v>
      </c>
      <c r="U323">
        <v>-1</v>
      </c>
      <c r="V323">
        <v>-1</v>
      </c>
      <c r="W323">
        <v>0</v>
      </c>
      <c r="X323">
        <v>3599.9781800000001</v>
      </c>
      <c r="Z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</row>
    <row r="324" spans="1:39" x14ac:dyDescent="0.3">
      <c r="A324" t="s">
        <v>381</v>
      </c>
      <c r="B324">
        <v>17886.364249999999</v>
      </c>
      <c r="C324">
        <v>5.9242000000000003E-2</v>
      </c>
      <c r="D324">
        <v>0</v>
      </c>
      <c r="E324">
        <v>-1</v>
      </c>
      <c r="F324">
        <v>-1</v>
      </c>
      <c r="G324">
        <v>-1</v>
      </c>
      <c r="H324">
        <v>0</v>
      </c>
      <c r="I324">
        <v>3600.0102479999996</v>
      </c>
      <c r="K324">
        <v>1</v>
      </c>
      <c r="M324">
        <v>1000000</v>
      </c>
      <c r="N324">
        <v>1E-3</v>
      </c>
      <c r="O324">
        <v>-1</v>
      </c>
      <c r="Q324">
        <v>-1</v>
      </c>
      <c r="R324">
        <v>-1</v>
      </c>
      <c r="S324">
        <v>-1</v>
      </c>
      <c r="T324">
        <v>0.13017799999999999</v>
      </c>
      <c r="U324">
        <v>-1</v>
      </c>
      <c r="V324">
        <v>-1</v>
      </c>
      <c r="W324">
        <v>0</v>
      </c>
      <c r="X324">
        <v>3599.9510059999998</v>
      </c>
      <c r="Z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</row>
    <row r="325" spans="1:39" x14ac:dyDescent="0.3">
      <c r="A325" t="s">
        <v>382</v>
      </c>
      <c r="B325">
        <v>17099.092000000001</v>
      </c>
      <c r="C325">
        <v>9.9192000000000002E-2</v>
      </c>
      <c r="D325">
        <v>0</v>
      </c>
      <c r="E325">
        <v>127102.092</v>
      </c>
      <c r="F325">
        <v>-1</v>
      </c>
      <c r="G325">
        <v>110003</v>
      </c>
      <c r="H325">
        <v>17099.092000000001</v>
      </c>
      <c r="I325">
        <v>3657.5314629999998</v>
      </c>
      <c r="K325">
        <v>1</v>
      </c>
      <c r="M325">
        <v>1000000</v>
      </c>
      <c r="N325">
        <v>127102.092</v>
      </c>
      <c r="O325">
        <v>-1</v>
      </c>
      <c r="Q325">
        <v>1</v>
      </c>
      <c r="R325">
        <v>-1</v>
      </c>
      <c r="S325">
        <v>-1</v>
      </c>
      <c r="T325">
        <v>0</v>
      </c>
      <c r="U325">
        <v>-1</v>
      </c>
      <c r="V325">
        <v>-1</v>
      </c>
      <c r="W325">
        <v>0</v>
      </c>
      <c r="X325">
        <v>607.25098400000002</v>
      </c>
      <c r="Z325">
        <v>3050.1812869999999</v>
      </c>
      <c r="AB325">
        <v>1</v>
      </c>
      <c r="AC325">
        <v>10902</v>
      </c>
      <c r="AD325">
        <v>91</v>
      </c>
      <c r="AE325">
        <v>18050</v>
      </c>
      <c r="AF325">
        <v>142</v>
      </c>
      <c r="AG325">
        <v>10902</v>
      </c>
      <c r="AH325">
        <v>91</v>
      </c>
      <c r="AI325">
        <v>18050</v>
      </c>
      <c r="AJ325">
        <v>142</v>
      </c>
      <c r="AK325">
        <v>1630.5260000000001</v>
      </c>
      <c r="AL325">
        <v>142</v>
      </c>
      <c r="AM325">
        <v>11.482576999999999</v>
      </c>
    </row>
    <row r="326" spans="1:39" x14ac:dyDescent="0.3">
      <c r="A326" t="s">
        <v>383</v>
      </c>
      <c r="B326">
        <v>17047.27275</v>
      </c>
      <c r="C326">
        <v>6.0546000000000003E-2</v>
      </c>
      <c r="D326">
        <v>0</v>
      </c>
      <c r="E326">
        <v>127051.2727</v>
      </c>
      <c r="F326">
        <v>-1</v>
      </c>
      <c r="G326">
        <v>110004</v>
      </c>
      <c r="H326">
        <v>17047.27275</v>
      </c>
      <c r="I326">
        <v>3607.4657990000001</v>
      </c>
      <c r="K326">
        <v>1</v>
      </c>
      <c r="M326">
        <v>1000000</v>
      </c>
      <c r="N326">
        <v>127051.2727</v>
      </c>
      <c r="O326">
        <v>-1</v>
      </c>
      <c r="Q326">
        <v>1</v>
      </c>
      <c r="R326">
        <v>-1</v>
      </c>
      <c r="S326">
        <v>-1</v>
      </c>
      <c r="T326">
        <v>0</v>
      </c>
      <c r="U326">
        <v>-1</v>
      </c>
      <c r="V326">
        <v>-1</v>
      </c>
      <c r="W326">
        <v>0</v>
      </c>
      <c r="X326">
        <v>914.52644199999997</v>
      </c>
      <c r="Z326">
        <v>2692.878811</v>
      </c>
      <c r="AB326">
        <v>1</v>
      </c>
      <c r="AC326">
        <v>21319</v>
      </c>
      <c r="AD326">
        <v>100</v>
      </c>
      <c r="AE326">
        <v>4947</v>
      </c>
      <c r="AF326">
        <v>225</v>
      </c>
      <c r="AG326">
        <v>21319</v>
      </c>
      <c r="AH326">
        <v>100</v>
      </c>
      <c r="AI326">
        <v>4947</v>
      </c>
      <c r="AJ326">
        <v>225</v>
      </c>
      <c r="AK326">
        <v>1537.9280000000001</v>
      </c>
      <c r="AL326">
        <v>225</v>
      </c>
      <c r="AM326">
        <v>6.8352360000000001</v>
      </c>
    </row>
    <row r="327" spans="1:39" x14ac:dyDescent="0.3">
      <c r="A327" t="s">
        <v>385</v>
      </c>
      <c r="B327">
        <v>17102.724190000001</v>
      </c>
      <c r="C327">
        <v>8.8672000000000001E-2</v>
      </c>
      <c r="D327">
        <v>0</v>
      </c>
      <c r="E327">
        <v>127106.7242</v>
      </c>
      <c r="F327">
        <v>-1</v>
      </c>
      <c r="G327">
        <v>110004</v>
      </c>
      <c r="H327">
        <v>17102.724190000001</v>
      </c>
      <c r="I327">
        <v>3618.8204169999999</v>
      </c>
      <c r="K327">
        <v>1</v>
      </c>
      <c r="M327">
        <v>1000000</v>
      </c>
      <c r="N327">
        <v>127106.7242</v>
      </c>
      <c r="O327">
        <v>-1</v>
      </c>
      <c r="Q327">
        <v>1</v>
      </c>
      <c r="R327">
        <v>-1</v>
      </c>
      <c r="S327">
        <v>-1</v>
      </c>
      <c r="T327">
        <v>0</v>
      </c>
      <c r="U327">
        <v>-1</v>
      </c>
      <c r="V327">
        <v>-1</v>
      </c>
      <c r="W327">
        <v>0</v>
      </c>
      <c r="X327">
        <v>1697.758675</v>
      </c>
      <c r="Z327">
        <v>1920.97307</v>
      </c>
      <c r="AB327">
        <v>1</v>
      </c>
      <c r="AC327">
        <v>10521</v>
      </c>
      <c r="AD327">
        <v>99</v>
      </c>
      <c r="AE327">
        <v>6979</v>
      </c>
      <c r="AF327">
        <v>14</v>
      </c>
      <c r="AG327">
        <v>10521</v>
      </c>
      <c r="AH327">
        <v>99</v>
      </c>
      <c r="AI327">
        <v>6979</v>
      </c>
      <c r="AJ327">
        <v>14</v>
      </c>
      <c r="AK327">
        <v>162.61099999999999</v>
      </c>
      <c r="AL327">
        <v>14</v>
      </c>
      <c r="AM327">
        <v>11.615071</v>
      </c>
    </row>
    <row r="328" spans="1:39" x14ac:dyDescent="0.3">
      <c r="A328" t="s">
        <v>387</v>
      </c>
      <c r="B328">
        <v>17033.63651</v>
      </c>
      <c r="C328">
        <v>6.4742999999999995E-2</v>
      </c>
      <c r="D328">
        <v>0</v>
      </c>
      <c r="E328">
        <v>127035.63649999999</v>
      </c>
      <c r="F328">
        <v>-1</v>
      </c>
      <c r="G328">
        <v>110002</v>
      </c>
      <c r="H328">
        <v>17033.63651</v>
      </c>
      <c r="I328">
        <v>3602.594904</v>
      </c>
      <c r="K328">
        <v>1</v>
      </c>
      <c r="M328">
        <v>1000000</v>
      </c>
      <c r="N328">
        <v>127035.63649999999</v>
      </c>
      <c r="O328">
        <v>-1</v>
      </c>
      <c r="Q328">
        <v>1</v>
      </c>
      <c r="R328">
        <v>-1</v>
      </c>
      <c r="S328">
        <v>-1</v>
      </c>
      <c r="T328">
        <v>0</v>
      </c>
      <c r="U328">
        <v>-1</v>
      </c>
      <c r="V328">
        <v>-1</v>
      </c>
      <c r="W328">
        <v>0</v>
      </c>
      <c r="X328">
        <v>1587.9783480000001</v>
      </c>
      <c r="Z328">
        <v>2014.551813</v>
      </c>
      <c r="AB328">
        <v>1</v>
      </c>
      <c r="AC328">
        <v>8322</v>
      </c>
      <c r="AD328">
        <v>103</v>
      </c>
      <c r="AE328">
        <v>26766</v>
      </c>
      <c r="AF328">
        <v>7</v>
      </c>
      <c r="AG328">
        <v>8322</v>
      </c>
      <c r="AH328">
        <v>103</v>
      </c>
      <c r="AI328">
        <v>26766</v>
      </c>
      <c r="AJ328">
        <v>7</v>
      </c>
      <c r="AK328">
        <v>48.552999999999997</v>
      </c>
      <c r="AL328">
        <v>7</v>
      </c>
      <c r="AM328">
        <v>6.9361430000000004</v>
      </c>
    </row>
    <row r="329" spans="1:39" x14ac:dyDescent="0.3">
      <c r="A329" t="s">
        <v>388</v>
      </c>
      <c r="B329">
        <v>17089.996620000002</v>
      </c>
      <c r="C329">
        <v>5.0615E-2</v>
      </c>
      <c r="D329">
        <v>0</v>
      </c>
      <c r="E329">
        <v>127093.9966</v>
      </c>
      <c r="F329">
        <v>-1</v>
      </c>
      <c r="G329">
        <v>110004</v>
      </c>
      <c r="H329">
        <v>17089.996620000002</v>
      </c>
      <c r="I329">
        <v>3600.1739280000002</v>
      </c>
      <c r="K329">
        <v>1</v>
      </c>
      <c r="M329">
        <v>1000000</v>
      </c>
      <c r="N329">
        <v>127093.9966</v>
      </c>
      <c r="O329">
        <v>-1</v>
      </c>
      <c r="Q329">
        <v>1</v>
      </c>
      <c r="R329">
        <v>-1</v>
      </c>
      <c r="S329">
        <v>-1</v>
      </c>
      <c r="T329">
        <v>0</v>
      </c>
      <c r="U329">
        <v>-1</v>
      </c>
      <c r="V329">
        <v>-1</v>
      </c>
      <c r="W329">
        <v>0</v>
      </c>
      <c r="X329">
        <v>775.95402200000001</v>
      </c>
      <c r="Z329">
        <v>2824.1692910000002</v>
      </c>
      <c r="AB329">
        <v>1</v>
      </c>
      <c r="AC329">
        <v>20277</v>
      </c>
      <c r="AD329">
        <v>111</v>
      </c>
      <c r="AE329">
        <v>12265</v>
      </c>
      <c r="AF329">
        <v>53</v>
      </c>
      <c r="AG329">
        <v>20277</v>
      </c>
      <c r="AH329">
        <v>111</v>
      </c>
      <c r="AI329">
        <v>12265</v>
      </c>
      <c r="AJ329">
        <v>53</v>
      </c>
      <c r="AK329">
        <v>401.05500000000001</v>
      </c>
      <c r="AL329">
        <v>53</v>
      </c>
      <c r="AM329">
        <v>7.567075</v>
      </c>
    </row>
    <row r="330" spans="1:39" x14ac:dyDescent="0.3">
      <c r="A330" t="s">
        <v>389</v>
      </c>
      <c r="B330">
        <v>17738.177540000001</v>
      </c>
      <c r="C330">
        <v>6.5004999999999993E-2</v>
      </c>
      <c r="D330">
        <v>0</v>
      </c>
      <c r="E330">
        <v>-1</v>
      </c>
      <c r="F330">
        <v>-1</v>
      </c>
      <c r="G330">
        <v>-1</v>
      </c>
      <c r="H330">
        <v>0</v>
      </c>
      <c r="I330">
        <v>3600.096121</v>
      </c>
      <c r="K330">
        <v>1</v>
      </c>
      <c r="M330">
        <v>1000000</v>
      </c>
      <c r="N330">
        <v>1E-3</v>
      </c>
      <c r="O330">
        <v>-1</v>
      </c>
      <c r="Q330">
        <v>-1</v>
      </c>
      <c r="R330">
        <v>-1</v>
      </c>
      <c r="S330">
        <v>-1</v>
      </c>
      <c r="T330">
        <v>0.13431199999999999</v>
      </c>
      <c r="U330">
        <v>-1</v>
      </c>
      <c r="V330">
        <v>-1</v>
      </c>
      <c r="W330">
        <v>0</v>
      </c>
      <c r="X330">
        <v>3600.0311160000001</v>
      </c>
      <c r="Z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</row>
    <row r="331" spans="1:39" s="1" customFormat="1" x14ac:dyDescent="0.3">
      <c r="A331" s="1" t="s">
        <v>392</v>
      </c>
      <c r="B331" s="1">
        <v>16984.543659999999</v>
      </c>
      <c r="C331" s="1">
        <v>8.5237999999999994E-2</v>
      </c>
      <c r="D331" s="1">
        <v>0</v>
      </c>
      <c r="E331" s="1">
        <v>126985.54369999999</v>
      </c>
      <c r="F331" s="1">
        <v>-1</v>
      </c>
      <c r="G331" s="1">
        <v>110001</v>
      </c>
      <c r="H331" s="1">
        <v>16984.543659999999</v>
      </c>
      <c r="I331" s="1">
        <v>3600.9947000000002</v>
      </c>
      <c r="K331" s="1">
        <v>1</v>
      </c>
      <c r="M331" s="1">
        <v>1000000</v>
      </c>
      <c r="N331" s="1">
        <v>126985.54369999999</v>
      </c>
      <c r="O331" s="1">
        <v>-1</v>
      </c>
      <c r="Q331" s="1">
        <v>1</v>
      </c>
      <c r="R331" s="1">
        <v>-1</v>
      </c>
      <c r="S331" s="1">
        <v>-1</v>
      </c>
      <c r="T331" s="1">
        <v>0</v>
      </c>
      <c r="U331" s="1">
        <v>-1</v>
      </c>
      <c r="V331" s="1">
        <v>-1</v>
      </c>
      <c r="W331" s="1">
        <v>0</v>
      </c>
      <c r="X331" s="1">
        <v>546.98028099999999</v>
      </c>
      <c r="Z331" s="1">
        <v>3053.929181</v>
      </c>
      <c r="AB331" s="1">
        <v>1</v>
      </c>
      <c r="AC331" s="1">
        <v>14593</v>
      </c>
      <c r="AD331" s="1">
        <v>116</v>
      </c>
      <c r="AE331" s="1">
        <v>26707</v>
      </c>
      <c r="AF331" s="1">
        <v>24</v>
      </c>
      <c r="AG331" s="1">
        <v>14593</v>
      </c>
      <c r="AH331" s="1">
        <v>116</v>
      </c>
      <c r="AI331" s="1">
        <v>26707</v>
      </c>
      <c r="AJ331" s="1">
        <v>24</v>
      </c>
      <c r="AK331" s="1">
        <v>277.93400000000003</v>
      </c>
      <c r="AL331" s="1">
        <v>24</v>
      </c>
      <c r="AM331" s="1">
        <v>11.580583000000001</v>
      </c>
    </row>
    <row r="332" spans="1:39" x14ac:dyDescent="0.3">
      <c r="A332" t="s">
        <v>268</v>
      </c>
      <c r="B332">
        <v>18480.00056</v>
      </c>
      <c r="C332">
        <v>0.13489899999999999</v>
      </c>
      <c r="D332">
        <v>0</v>
      </c>
      <c r="E332">
        <v>138482.0006</v>
      </c>
      <c r="F332">
        <v>-1</v>
      </c>
      <c r="G332">
        <v>120002</v>
      </c>
      <c r="H332">
        <v>18480.00056</v>
      </c>
      <c r="I332">
        <v>3600.5505499999999</v>
      </c>
      <c r="J332" t="s">
        <v>402</v>
      </c>
      <c r="K332">
        <v>1</v>
      </c>
      <c r="L332">
        <v>1</v>
      </c>
      <c r="M332">
        <v>100000</v>
      </c>
      <c r="N332">
        <v>138482.0006</v>
      </c>
      <c r="O332">
        <v>-1</v>
      </c>
      <c r="P332">
        <v>0</v>
      </c>
      <c r="Q332">
        <v>1</v>
      </c>
      <c r="R332">
        <v>-1</v>
      </c>
      <c r="S332">
        <v>-1</v>
      </c>
      <c r="T332">
        <v>0</v>
      </c>
      <c r="U332">
        <v>-1</v>
      </c>
      <c r="V332">
        <v>-1</v>
      </c>
      <c r="W332">
        <v>0</v>
      </c>
      <c r="X332">
        <v>948.23497599999996</v>
      </c>
      <c r="Y332" t="s">
        <v>397</v>
      </c>
      <c r="Z332">
        <v>2652.1806750000001</v>
      </c>
      <c r="AA332" t="s">
        <v>397</v>
      </c>
      <c r="AB332">
        <v>1</v>
      </c>
      <c r="AC332">
        <v>42106</v>
      </c>
      <c r="AD332">
        <v>1</v>
      </c>
      <c r="AE332">
        <v>0</v>
      </c>
      <c r="AF332">
        <v>0</v>
      </c>
      <c r="AG332">
        <v>42106</v>
      </c>
      <c r="AH332">
        <v>1</v>
      </c>
      <c r="AI332">
        <v>0</v>
      </c>
      <c r="AJ332">
        <v>0</v>
      </c>
      <c r="AK332">
        <v>0</v>
      </c>
      <c r="AL332">
        <v>0</v>
      </c>
      <c r="AM332">
        <v>0</v>
      </c>
    </row>
    <row r="333" spans="1:39" x14ac:dyDescent="0.3">
      <c r="A333" t="s">
        <v>269</v>
      </c>
      <c r="B333">
        <v>18559.99624</v>
      </c>
      <c r="C333">
        <v>7.0004999999999998E-2</v>
      </c>
      <c r="D333">
        <v>0</v>
      </c>
      <c r="E333">
        <v>138563.99619999999</v>
      </c>
      <c r="F333">
        <v>-1</v>
      </c>
      <c r="G333">
        <v>120004</v>
      </c>
      <c r="H333">
        <v>18559.99624</v>
      </c>
      <c r="I333">
        <v>3601.0710239999999</v>
      </c>
      <c r="K333">
        <v>1</v>
      </c>
      <c r="M333">
        <v>100000</v>
      </c>
      <c r="N333">
        <v>138563.99619999999</v>
      </c>
      <c r="O333">
        <v>-1</v>
      </c>
      <c r="Q333">
        <v>1</v>
      </c>
      <c r="R333">
        <v>-1</v>
      </c>
      <c r="S333">
        <v>-1</v>
      </c>
      <c r="T333">
        <v>0</v>
      </c>
      <c r="U333">
        <v>-1</v>
      </c>
      <c r="V333">
        <v>-1</v>
      </c>
      <c r="W333">
        <v>0</v>
      </c>
      <c r="X333">
        <v>734.47768599999995</v>
      </c>
      <c r="Z333">
        <v>2866.5233330000001</v>
      </c>
      <c r="AB333">
        <v>1</v>
      </c>
      <c r="AC333">
        <v>22942</v>
      </c>
      <c r="AD333">
        <v>110</v>
      </c>
      <c r="AE333">
        <v>2338</v>
      </c>
      <c r="AF333">
        <v>0</v>
      </c>
      <c r="AG333">
        <v>22942</v>
      </c>
      <c r="AH333">
        <v>110</v>
      </c>
      <c r="AI333">
        <v>2338</v>
      </c>
      <c r="AJ333">
        <v>0</v>
      </c>
      <c r="AK333">
        <v>0</v>
      </c>
      <c r="AL333">
        <v>0</v>
      </c>
      <c r="AM333">
        <v>0</v>
      </c>
    </row>
    <row r="334" spans="1:39" x14ac:dyDescent="0.3">
      <c r="A334" t="s">
        <v>271</v>
      </c>
      <c r="B334">
        <v>18593.334009999999</v>
      </c>
      <c r="C334">
        <v>0.193107</v>
      </c>
      <c r="D334">
        <v>0</v>
      </c>
      <c r="E334">
        <v>-1</v>
      </c>
      <c r="F334">
        <v>-1</v>
      </c>
      <c r="G334">
        <v>-1</v>
      </c>
      <c r="H334">
        <v>0</v>
      </c>
      <c r="I334">
        <v>3600.0673350000002</v>
      </c>
      <c r="K334">
        <v>1</v>
      </c>
      <c r="M334">
        <v>100000</v>
      </c>
      <c r="N334">
        <v>1E-3</v>
      </c>
      <c r="O334">
        <v>-1</v>
      </c>
      <c r="Q334">
        <v>-1</v>
      </c>
      <c r="R334">
        <v>-1</v>
      </c>
      <c r="S334">
        <v>-1</v>
      </c>
      <c r="T334">
        <v>0.115274</v>
      </c>
      <c r="U334">
        <v>-1</v>
      </c>
      <c r="V334">
        <v>-1</v>
      </c>
      <c r="W334">
        <v>0</v>
      </c>
      <c r="X334">
        <v>3599.8742280000001</v>
      </c>
      <c r="Z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</row>
    <row r="335" spans="1:39" x14ac:dyDescent="0.3">
      <c r="A335" t="s">
        <v>272</v>
      </c>
      <c r="B335">
        <v>18583.332429999999</v>
      </c>
      <c r="C335">
        <v>6.7654000000000006E-2</v>
      </c>
      <c r="D335">
        <v>0</v>
      </c>
      <c r="E335">
        <v>-1</v>
      </c>
      <c r="F335">
        <v>-1</v>
      </c>
      <c r="G335">
        <v>-1</v>
      </c>
      <c r="H335">
        <v>0</v>
      </c>
      <c r="I335">
        <v>3600.0184629999999</v>
      </c>
      <c r="K335">
        <v>1</v>
      </c>
      <c r="M335">
        <v>100000</v>
      </c>
      <c r="N335">
        <v>1E-3</v>
      </c>
      <c r="O335">
        <v>-1</v>
      </c>
      <c r="Q335">
        <v>-1</v>
      </c>
      <c r="R335">
        <v>-1</v>
      </c>
      <c r="S335">
        <v>-1</v>
      </c>
      <c r="T335">
        <v>0.124307</v>
      </c>
      <c r="U335">
        <v>-1</v>
      </c>
      <c r="V335">
        <v>-1</v>
      </c>
      <c r="W335">
        <v>0</v>
      </c>
      <c r="X335">
        <v>3599.9508089999999</v>
      </c>
      <c r="Z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</row>
    <row r="336" spans="1:39" x14ac:dyDescent="0.3">
      <c r="A336" t="s">
        <v>273</v>
      </c>
      <c r="B336">
        <v>18439.999029999999</v>
      </c>
      <c r="C336">
        <v>6.5819000000000003E-2</v>
      </c>
      <c r="D336">
        <v>0</v>
      </c>
      <c r="E336">
        <v>-1</v>
      </c>
      <c r="F336">
        <v>-1</v>
      </c>
      <c r="G336">
        <v>-1</v>
      </c>
      <c r="H336">
        <v>0</v>
      </c>
      <c r="I336">
        <v>3600.0318710000001</v>
      </c>
      <c r="K336">
        <v>1</v>
      </c>
      <c r="M336">
        <v>100000</v>
      </c>
      <c r="N336">
        <v>1E-3</v>
      </c>
      <c r="O336">
        <v>-1</v>
      </c>
      <c r="Q336">
        <v>-1</v>
      </c>
      <c r="R336">
        <v>-1</v>
      </c>
      <c r="S336">
        <v>-1</v>
      </c>
      <c r="T336">
        <v>0.12192</v>
      </c>
      <c r="U336">
        <v>-1</v>
      </c>
      <c r="V336">
        <v>-1</v>
      </c>
      <c r="W336">
        <v>0</v>
      </c>
      <c r="X336">
        <v>3599.9660520000002</v>
      </c>
      <c r="Z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</row>
    <row r="337" spans="1:39" x14ac:dyDescent="0.3">
      <c r="A337" t="s">
        <v>274</v>
      </c>
      <c r="B337">
        <v>18026.66203</v>
      </c>
      <c r="C337">
        <v>5.8160000000000003E-2</v>
      </c>
      <c r="D337">
        <v>0</v>
      </c>
      <c r="E337">
        <v>-1</v>
      </c>
      <c r="F337">
        <v>-1</v>
      </c>
      <c r="G337">
        <v>-1</v>
      </c>
      <c r="H337">
        <v>0</v>
      </c>
      <c r="I337">
        <v>3600.01055</v>
      </c>
      <c r="K337">
        <v>1</v>
      </c>
      <c r="M337">
        <v>100000</v>
      </c>
      <c r="N337">
        <v>1E-3</v>
      </c>
      <c r="O337">
        <v>-1</v>
      </c>
      <c r="Q337">
        <v>-1</v>
      </c>
      <c r="R337">
        <v>-1</v>
      </c>
      <c r="S337">
        <v>-1</v>
      </c>
      <c r="T337">
        <v>6.7555000000000004E-2</v>
      </c>
      <c r="U337">
        <v>-1</v>
      </c>
      <c r="V337">
        <v>-1</v>
      </c>
      <c r="W337">
        <v>0</v>
      </c>
      <c r="X337">
        <v>3599.9523899999999</v>
      </c>
      <c r="Z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</row>
    <row r="338" spans="1:39" x14ac:dyDescent="0.3">
      <c r="A338" t="s">
        <v>275</v>
      </c>
      <c r="B338">
        <v>18439.999400000001</v>
      </c>
      <c r="C338">
        <v>0.100087</v>
      </c>
      <c r="D338">
        <v>0</v>
      </c>
      <c r="E338">
        <v>138441.9994</v>
      </c>
      <c r="F338">
        <v>-1</v>
      </c>
      <c r="G338">
        <v>120002</v>
      </c>
      <c r="H338">
        <v>18439.999400000001</v>
      </c>
      <c r="I338">
        <v>3600.7723569999998</v>
      </c>
      <c r="K338">
        <v>1</v>
      </c>
      <c r="M338">
        <v>100000</v>
      </c>
      <c r="N338">
        <v>138441.9994</v>
      </c>
      <c r="O338">
        <v>-1</v>
      </c>
      <c r="Q338">
        <v>1</v>
      </c>
      <c r="R338">
        <v>-1</v>
      </c>
      <c r="S338">
        <v>-1</v>
      </c>
      <c r="T338">
        <v>0</v>
      </c>
      <c r="U338">
        <v>-1</v>
      </c>
      <c r="V338">
        <v>-1</v>
      </c>
      <c r="W338">
        <v>0</v>
      </c>
      <c r="X338">
        <v>1215.1671630000001</v>
      </c>
      <c r="Z338">
        <v>2385.505107</v>
      </c>
      <c r="AB338">
        <v>1</v>
      </c>
      <c r="AC338">
        <v>32339</v>
      </c>
      <c r="AD338">
        <v>3</v>
      </c>
      <c r="AE338">
        <v>0</v>
      </c>
      <c r="AF338">
        <v>0</v>
      </c>
      <c r="AG338">
        <v>32339</v>
      </c>
      <c r="AH338">
        <v>3</v>
      </c>
      <c r="AI338">
        <v>0</v>
      </c>
      <c r="AJ338">
        <v>0</v>
      </c>
      <c r="AK338">
        <v>0</v>
      </c>
      <c r="AL338">
        <v>0</v>
      </c>
      <c r="AM338">
        <v>0</v>
      </c>
    </row>
    <row r="339" spans="1:39" x14ac:dyDescent="0.3">
      <c r="A339" t="s">
        <v>276</v>
      </c>
      <c r="B339">
        <v>18600.002369999998</v>
      </c>
      <c r="C339">
        <v>0.116255</v>
      </c>
      <c r="D339">
        <v>0</v>
      </c>
      <c r="E339">
        <v>138601.0024</v>
      </c>
      <c r="F339">
        <v>-1</v>
      </c>
      <c r="G339">
        <v>120001</v>
      </c>
      <c r="H339">
        <v>18600.002369999998</v>
      </c>
      <c r="I339">
        <v>3600.0232349999997</v>
      </c>
      <c r="K339">
        <v>1</v>
      </c>
      <c r="M339">
        <v>100000</v>
      </c>
      <c r="N339">
        <v>138601.0024</v>
      </c>
      <c r="O339">
        <v>-1</v>
      </c>
      <c r="Q339">
        <v>1</v>
      </c>
      <c r="R339">
        <v>-1</v>
      </c>
      <c r="S339">
        <v>-1</v>
      </c>
      <c r="T339">
        <v>0</v>
      </c>
      <c r="U339">
        <v>-1</v>
      </c>
      <c r="V339">
        <v>-1</v>
      </c>
      <c r="W339">
        <v>0</v>
      </c>
      <c r="X339">
        <v>3579.0595109999999</v>
      </c>
      <c r="Z339">
        <v>20.847469</v>
      </c>
      <c r="AB339">
        <v>1</v>
      </c>
      <c r="AC339">
        <v>142</v>
      </c>
      <c r="AD339">
        <v>0</v>
      </c>
      <c r="AE339">
        <v>0</v>
      </c>
      <c r="AF339">
        <v>0</v>
      </c>
      <c r="AG339">
        <v>142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</row>
    <row r="340" spans="1:39" x14ac:dyDescent="0.3">
      <c r="A340" t="s">
        <v>277</v>
      </c>
      <c r="B340">
        <v>19586.664489999999</v>
      </c>
      <c r="C340">
        <v>9.7446000000000005E-2</v>
      </c>
      <c r="D340">
        <v>0</v>
      </c>
      <c r="E340">
        <v>139589.66450000001</v>
      </c>
      <c r="F340">
        <v>-1</v>
      </c>
      <c r="G340">
        <v>120003</v>
      </c>
      <c r="H340">
        <v>19586.664489999999</v>
      </c>
      <c r="I340">
        <v>3601.222612</v>
      </c>
      <c r="K340">
        <v>1</v>
      </c>
      <c r="M340">
        <v>100000</v>
      </c>
      <c r="N340">
        <v>139589.66450000001</v>
      </c>
      <c r="O340">
        <v>-1</v>
      </c>
      <c r="Q340">
        <v>1</v>
      </c>
      <c r="R340">
        <v>-1</v>
      </c>
      <c r="S340">
        <v>-1</v>
      </c>
      <c r="T340">
        <v>0</v>
      </c>
      <c r="U340">
        <v>-1</v>
      </c>
      <c r="V340">
        <v>-1</v>
      </c>
      <c r="W340">
        <v>0</v>
      </c>
      <c r="X340">
        <v>3166.789855</v>
      </c>
      <c r="Z340">
        <v>434.33531099999999</v>
      </c>
      <c r="AB340">
        <v>1</v>
      </c>
      <c r="AC340">
        <v>11608</v>
      </c>
      <c r="AD340">
        <v>0</v>
      </c>
      <c r="AE340">
        <v>0</v>
      </c>
      <c r="AF340">
        <v>0</v>
      </c>
      <c r="AG340">
        <v>11608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</row>
    <row r="341" spans="1:39" x14ac:dyDescent="0.3">
      <c r="A341" t="s">
        <v>278</v>
      </c>
      <c r="B341">
        <v>18440.00431</v>
      </c>
      <c r="C341">
        <v>0.106498</v>
      </c>
      <c r="D341">
        <v>0</v>
      </c>
      <c r="E341">
        <v>-1</v>
      </c>
      <c r="F341">
        <v>-1</v>
      </c>
      <c r="G341">
        <v>-1</v>
      </c>
      <c r="H341">
        <v>0</v>
      </c>
      <c r="I341">
        <v>3600.0916440000001</v>
      </c>
      <c r="K341">
        <v>1</v>
      </c>
      <c r="M341">
        <v>100000</v>
      </c>
      <c r="N341">
        <v>1E-3</v>
      </c>
      <c r="O341">
        <v>-1</v>
      </c>
      <c r="Q341">
        <v>-1</v>
      </c>
      <c r="R341">
        <v>-1</v>
      </c>
      <c r="S341">
        <v>-1</v>
      </c>
      <c r="T341">
        <v>1.3153E-2</v>
      </c>
      <c r="U341">
        <v>-1</v>
      </c>
      <c r="V341">
        <v>-1</v>
      </c>
      <c r="W341">
        <v>0</v>
      </c>
      <c r="X341">
        <v>3599.985146</v>
      </c>
      <c r="Z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</row>
    <row r="342" spans="1:39" x14ac:dyDescent="0.3">
      <c r="A342" t="s">
        <v>279</v>
      </c>
      <c r="B342">
        <v>18513.333009999998</v>
      </c>
      <c r="C342">
        <v>0.104487</v>
      </c>
      <c r="D342">
        <v>0</v>
      </c>
      <c r="E342">
        <v>-1</v>
      </c>
      <c r="F342">
        <v>-1</v>
      </c>
      <c r="G342">
        <v>-1</v>
      </c>
      <c r="H342">
        <v>0</v>
      </c>
      <c r="I342">
        <v>3600.1403850000002</v>
      </c>
      <c r="K342">
        <v>1</v>
      </c>
      <c r="M342">
        <v>100000</v>
      </c>
      <c r="N342">
        <v>1E-3</v>
      </c>
      <c r="O342">
        <v>-1</v>
      </c>
      <c r="Q342">
        <v>-1</v>
      </c>
      <c r="R342">
        <v>-1</v>
      </c>
      <c r="S342">
        <v>-1</v>
      </c>
      <c r="T342">
        <v>7.2151000000000007E-2</v>
      </c>
      <c r="U342">
        <v>-1</v>
      </c>
      <c r="V342">
        <v>-1</v>
      </c>
      <c r="W342">
        <v>0</v>
      </c>
      <c r="X342">
        <v>3600.0358980000001</v>
      </c>
      <c r="Z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</row>
    <row r="343" spans="1:39" x14ac:dyDescent="0.3">
      <c r="A343" t="s">
        <v>280</v>
      </c>
      <c r="B343">
        <v>18509.998889999999</v>
      </c>
      <c r="C343">
        <v>0.18415599999999999</v>
      </c>
      <c r="D343">
        <v>0</v>
      </c>
      <c r="E343">
        <v>-1</v>
      </c>
      <c r="F343">
        <v>-1</v>
      </c>
      <c r="G343">
        <v>-1</v>
      </c>
      <c r="H343">
        <v>0</v>
      </c>
      <c r="I343">
        <v>3600.1347939999996</v>
      </c>
      <c r="K343">
        <v>1</v>
      </c>
      <c r="M343">
        <v>100000</v>
      </c>
      <c r="N343">
        <v>1E-3</v>
      </c>
      <c r="O343">
        <v>-1</v>
      </c>
      <c r="Q343">
        <v>-1</v>
      </c>
      <c r="R343">
        <v>-1</v>
      </c>
      <c r="S343">
        <v>-1</v>
      </c>
      <c r="T343">
        <v>6.4615000000000006E-2</v>
      </c>
      <c r="U343">
        <v>-1</v>
      </c>
      <c r="V343">
        <v>-1</v>
      </c>
      <c r="W343">
        <v>0</v>
      </c>
      <c r="X343">
        <v>3599.9506379999998</v>
      </c>
      <c r="Z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</row>
    <row r="344" spans="1:39" x14ac:dyDescent="0.3">
      <c r="A344" t="s">
        <v>281</v>
      </c>
      <c r="B344">
        <v>18573.330600000001</v>
      </c>
      <c r="C344">
        <v>6.9195999999999994E-2</v>
      </c>
      <c r="D344">
        <v>0</v>
      </c>
      <c r="E344">
        <v>138576.33059999999</v>
      </c>
      <c r="F344">
        <v>-1</v>
      </c>
      <c r="G344">
        <v>120003</v>
      </c>
      <c r="H344">
        <v>18573.330600000001</v>
      </c>
      <c r="I344">
        <v>3600.370445</v>
      </c>
      <c r="K344">
        <v>1</v>
      </c>
      <c r="M344">
        <v>100000</v>
      </c>
      <c r="N344">
        <v>138576.33059999999</v>
      </c>
      <c r="O344">
        <v>-1</v>
      </c>
      <c r="Q344">
        <v>1</v>
      </c>
      <c r="R344">
        <v>-1</v>
      </c>
      <c r="S344">
        <v>-1</v>
      </c>
      <c r="T344">
        <v>0</v>
      </c>
      <c r="U344">
        <v>-1</v>
      </c>
      <c r="V344">
        <v>-1</v>
      </c>
      <c r="W344">
        <v>0</v>
      </c>
      <c r="X344">
        <v>1765.387749</v>
      </c>
      <c r="Z344">
        <v>1834.9135000000001</v>
      </c>
      <c r="AB344">
        <v>1</v>
      </c>
      <c r="AC344">
        <v>12857</v>
      </c>
      <c r="AD344">
        <v>81</v>
      </c>
      <c r="AE344">
        <v>3526</v>
      </c>
      <c r="AF344">
        <v>0</v>
      </c>
      <c r="AG344">
        <v>12857</v>
      </c>
      <c r="AH344">
        <v>81</v>
      </c>
      <c r="AI344">
        <v>3526</v>
      </c>
      <c r="AJ344">
        <v>0</v>
      </c>
      <c r="AK344">
        <v>0</v>
      </c>
      <c r="AL344">
        <v>0</v>
      </c>
      <c r="AM344">
        <v>0</v>
      </c>
    </row>
    <row r="345" spans="1:39" x14ac:dyDescent="0.3">
      <c r="A345" t="s">
        <v>282</v>
      </c>
      <c r="B345">
        <v>19530.001250000001</v>
      </c>
      <c r="C345">
        <v>0.113209</v>
      </c>
      <c r="D345">
        <v>0</v>
      </c>
      <c r="E345">
        <v>139534.0013</v>
      </c>
      <c r="F345">
        <v>-1</v>
      </c>
      <c r="G345">
        <v>120004</v>
      </c>
      <c r="H345">
        <v>19530.001250000001</v>
      </c>
      <c r="I345">
        <v>3600.1469400000001</v>
      </c>
      <c r="K345">
        <v>1</v>
      </c>
      <c r="M345">
        <v>100000</v>
      </c>
      <c r="N345">
        <v>139534.0013</v>
      </c>
      <c r="O345">
        <v>-1</v>
      </c>
      <c r="Q345">
        <v>1</v>
      </c>
      <c r="R345">
        <v>-1</v>
      </c>
      <c r="S345">
        <v>-1</v>
      </c>
      <c r="T345">
        <v>0</v>
      </c>
      <c r="U345">
        <v>-1</v>
      </c>
      <c r="V345">
        <v>-1</v>
      </c>
      <c r="W345">
        <v>0</v>
      </c>
      <c r="X345">
        <v>3031.5414000000001</v>
      </c>
      <c r="Z345">
        <v>568.49233100000004</v>
      </c>
      <c r="AB345">
        <v>1</v>
      </c>
      <c r="AC345">
        <v>7010</v>
      </c>
      <c r="AD345">
        <v>3</v>
      </c>
      <c r="AE345">
        <v>42</v>
      </c>
      <c r="AF345">
        <v>0</v>
      </c>
      <c r="AG345">
        <v>7010</v>
      </c>
      <c r="AH345">
        <v>3</v>
      </c>
      <c r="AI345">
        <v>42</v>
      </c>
      <c r="AJ345">
        <v>0</v>
      </c>
      <c r="AK345">
        <v>0</v>
      </c>
      <c r="AL345">
        <v>0</v>
      </c>
      <c r="AM345">
        <v>0</v>
      </c>
    </row>
    <row r="346" spans="1:39" x14ac:dyDescent="0.3">
      <c r="A346" t="s">
        <v>283</v>
      </c>
      <c r="B346">
        <v>19500.0049</v>
      </c>
      <c r="C346">
        <v>8.2438999999999998E-2</v>
      </c>
      <c r="D346">
        <v>0</v>
      </c>
      <c r="E346">
        <v>139504.0049</v>
      </c>
      <c r="F346">
        <v>-1</v>
      </c>
      <c r="G346">
        <v>120004</v>
      </c>
      <c r="H346">
        <v>19500.0049</v>
      </c>
      <c r="I346">
        <v>3656.5911040000001</v>
      </c>
      <c r="K346">
        <v>1</v>
      </c>
      <c r="M346">
        <v>100000</v>
      </c>
      <c r="N346">
        <v>139504.0049</v>
      </c>
      <c r="O346">
        <v>-1</v>
      </c>
      <c r="Q346">
        <v>1</v>
      </c>
      <c r="R346">
        <v>-1</v>
      </c>
      <c r="S346">
        <v>-1</v>
      </c>
      <c r="T346">
        <v>0</v>
      </c>
      <c r="U346">
        <v>-1</v>
      </c>
      <c r="V346">
        <v>-1</v>
      </c>
      <c r="W346">
        <v>0</v>
      </c>
      <c r="X346">
        <v>898.96889099999999</v>
      </c>
      <c r="Z346">
        <v>2757.5397739999999</v>
      </c>
      <c r="AB346">
        <v>1</v>
      </c>
      <c r="AC346">
        <v>28257</v>
      </c>
      <c r="AD346">
        <v>115</v>
      </c>
      <c r="AE346">
        <v>12188</v>
      </c>
      <c r="AF346">
        <v>15</v>
      </c>
      <c r="AG346">
        <v>28257</v>
      </c>
      <c r="AH346">
        <v>115</v>
      </c>
      <c r="AI346">
        <v>12188</v>
      </c>
      <c r="AJ346">
        <v>15</v>
      </c>
      <c r="AK346">
        <v>143.10599999999999</v>
      </c>
      <c r="AL346">
        <v>15</v>
      </c>
      <c r="AM346">
        <v>9.5404</v>
      </c>
    </row>
    <row r="347" spans="1:39" x14ac:dyDescent="0.3">
      <c r="A347" t="s">
        <v>284</v>
      </c>
      <c r="B347">
        <v>18026.66203</v>
      </c>
      <c r="C347">
        <v>5.6795999999999999E-2</v>
      </c>
      <c r="D347">
        <v>0</v>
      </c>
      <c r="E347">
        <v>128031.662</v>
      </c>
      <c r="F347">
        <v>-1</v>
      </c>
      <c r="G347">
        <v>110005</v>
      </c>
      <c r="H347">
        <v>18026.66203</v>
      </c>
      <c r="I347">
        <v>3600.250188</v>
      </c>
      <c r="K347">
        <v>1</v>
      </c>
      <c r="M347">
        <v>100000</v>
      </c>
      <c r="N347">
        <v>128031.662</v>
      </c>
      <c r="O347">
        <v>-1</v>
      </c>
      <c r="Q347">
        <v>1</v>
      </c>
      <c r="R347">
        <v>-1</v>
      </c>
      <c r="S347">
        <v>-1</v>
      </c>
      <c r="T347">
        <v>0</v>
      </c>
      <c r="U347">
        <v>-1</v>
      </c>
      <c r="V347">
        <v>-1</v>
      </c>
      <c r="W347">
        <v>0</v>
      </c>
      <c r="X347">
        <v>518.85452699999996</v>
      </c>
      <c r="Z347">
        <v>3081.3388650000002</v>
      </c>
      <c r="AB347">
        <v>1</v>
      </c>
      <c r="AC347">
        <v>44820</v>
      </c>
      <c r="AD347">
        <v>122</v>
      </c>
      <c r="AE347">
        <v>16537</v>
      </c>
      <c r="AF347">
        <v>0</v>
      </c>
      <c r="AG347">
        <v>44820</v>
      </c>
      <c r="AH347">
        <v>122</v>
      </c>
      <c r="AI347">
        <v>16537</v>
      </c>
      <c r="AJ347">
        <v>0</v>
      </c>
      <c r="AK347">
        <v>0</v>
      </c>
      <c r="AL347">
        <v>0</v>
      </c>
      <c r="AM347">
        <v>0</v>
      </c>
    </row>
    <row r="348" spans="1:39" x14ac:dyDescent="0.3">
      <c r="A348" t="s">
        <v>285</v>
      </c>
      <c r="B348">
        <v>18599.996360000001</v>
      </c>
      <c r="C348">
        <v>0.123226</v>
      </c>
      <c r="D348">
        <v>0</v>
      </c>
      <c r="E348">
        <v>-1</v>
      </c>
      <c r="F348">
        <v>-1</v>
      </c>
      <c r="G348">
        <v>-1</v>
      </c>
      <c r="H348">
        <v>0</v>
      </c>
      <c r="I348">
        <v>3600.0339510000003</v>
      </c>
      <c r="K348">
        <v>1</v>
      </c>
      <c r="M348">
        <v>100000</v>
      </c>
      <c r="N348">
        <v>1E-3</v>
      </c>
      <c r="O348">
        <v>-1</v>
      </c>
      <c r="Q348">
        <v>-1</v>
      </c>
      <c r="R348">
        <v>-1</v>
      </c>
      <c r="S348">
        <v>-1</v>
      </c>
      <c r="T348">
        <v>3.4090000000000002E-2</v>
      </c>
      <c r="U348">
        <v>-1</v>
      </c>
      <c r="V348">
        <v>-1</v>
      </c>
      <c r="W348">
        <v>0</v>
      </c>
      <c r="X348">
        <v>3599.9107250000002</v>
      </c>
      <c r="Z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</row>
    <row r="349" spans="1:39" x14ac:dyDescent="0.3">
      <c r="A349" t="s">
        <v>286</v>
      </c>
      <c r="B349">
        <v>18186.665980000002</v>
      </c>
      <c r="C349">
        <v>0.110003</v>
      </c>
      <c r="D349">
        <v>0</v>
      </c>
      <c r="E349">
        <v>-1</v>
      </c>
      <c r="F349">
        <v>-1</v>
      </c>
      <c r="G349">
        <v>-1</v>
      </c>
      <c r="H349">
        <v>0</v>
      </c>
      <c r="I349">
        <v>3600.072862</v>
      </c>
      <c r="K349">
        <v>1</v>
      </c>
      <c r="M349">
        <v>100000</v>
      </c>
      <c r="N349">
        <v>1E-3</v>
      </c>
      <c r="O349">
        <v>-1</v>
      </c>
      <c r="Q349">
        <v>-1</v>
      </c>
      <c r="R349">
        <v>-1</v>
      </c>
      <c r="S349">
        <v>-1</v>
      </c>
      <c r="T349">
        <v>6.7488000000000006E-2</v>
      </c>
      <c r="U349">
        <v>-1</v>
      </c>
      <c r="V349">
        <v>-1</v>
      </c>
      <c r="W349">
        <v>0</v>
      </c>
      <c r="X349">
        <v>3599.9628590000002</v>
      </c>
      <c r="Z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</row>
    <row r="350" spans="1:39" x14ac:dyDescent="0.3">
      <c r="A350" t="s">
        <v>287</v>
      </c>
      <c r="B350">
        <v>18580.0023</v>
      </c>
      <c r="C350">
        <v>9.5293000000000003E-2</v>
      </c>
      <c r="D350">
        <v>0</v>
      </c>
      <c r="E350">
        <v>-1</v>
      </c>
      <c r="F350">
        <v>-1</v>
      </c>
      <c r="G350">
        <v>-1</v>
      </c>
      <c r="H350">
        <v>0</v>
      </c>
      <c r="I350">
        <v>3600.1314849999999</v>
      </c>
      <c r="K350">
        <v>1</v>
      </c>
      <c r="M350">
        <v>100000</v>
      </c>
      <c r="N350">
        <v>1E-3</v>
      </c>
      <c r="O350">
        <v>-1</v>
      </c>
      <c r="Q350">
        <v>-1</v>
      </c>
      <c r="R350">
        <v>-1</v>
      </c>
      <c r="S350">
        <v>-1</v>
      </c>
      <c r="T350">
        <v>0.13458600000000001</v>
      </c>
      <c r="U350">
        <v>-1</v>
      </c>
      <c r="V350">
        <v>-1</v>
      </c>
      <c r="W350">
        <v>0</v>
      </c>
      <c r="X350">
        <v>3600.036192</v>
      </c>
      <c r="Z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</row>
    <row r="351" spans="1:39" x14ac:dyDescent="0.3">
      <c r="A351" t="s">
        <v>288</v>
      </c>
      <c r="B351">
        <v>17586.66329</v>
      </c>
      <c r="C351">
        <v>8.4164000000000003E-2</v>
      </c>
      <c r="D351">
        <v>0</v>
      </c>
      <c r="E351">
        <v>-1</v>
      </c>
      <c r="F351">
        <v>-1</v>
      </c>
      <c r="G351">
        <v>-1</v>
      </c>
      <c r="H351">
        <v>0</v>
      </c>
      <c r="I351">
        <v>3600.2007289999997</v>
      </c>
      <c r="K351">
        <v>1</v>
      </c>
      <c r="M351">
        <v>100000</v>
      </c>
      <c r="N351">
        <v>1E-3</v>
      </c>
      <c r="O351">
        <v>-1</v>
      </c>
      <c r="Q351">
        <v>-1</v>
      </c>
      <c r="R351">
        <v>-1</v>
      </c>
      <c r="S351">
        <v>-1</v>
      </c>
      <c r="T351">
        <v>0.16241800000000001</v>
      </c>
      <c r="U351">
        <v>-1</v>
      </c>
      <c r="V351">
        <v>-1</v>
      </c>
      <c r="W351">
        <v>0</v>
      </c>
      <c r="X351">
        <v>3600.1165649999998</v>
      </c>
      <c r="Z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</row>
    <row r="352" spans="1:39" x14ac:dyDescent="0.3">
      <c r="A352" t="s">
        <v>289</v>
      </c>
      <c r="B352">
        <v>18616.665919999999</v>
      </c>
      <c r="C352">
        <v>0.10581500000000001</v>
      </c>
      <c r="D352">
        <v>0</v>
      </c>
      <c r="E352">
        <v>138620.66589999999</v>
      </c>
      <c r="F352">
        <v>-1</v>
      </c>
      <c r="G352">
        <v>120004</v>
      </c>
      <c r="H352">
        <v>18616.665919999999</v>
      </c>
      <c r="I352">
        <v>3600.3065689999999</v>
      </c>
      <c r="K352">
        <v>1</v>
      </c>
      <c r="M352">
        <v>100000</v>
      </c>
      <c r="N352">
        <v>138620.66589999999</v>
      </c>
      <c r="O352">
        <v>-1</v>
      </c>
      <c r="Q352">
        <v>1</v>
      </c>
      <c r="R352">
        <v>-1</v>
      </c>
      <c r="S352">
        <v>-1</v>
      </c>
      <c r="T352">
        <v>0</v>
      </c>
      <c r="U352">
        <v>-1</v>
      </c>
      <c r="V352">
        <v>-1</v>
      </c>
      <c r="W352">
        <v>0</v>
      </c>
      <c r="X352">
        <v>2013.328199</v>
      </c>
      <c r="Z352">
        <v>1586.8725549999999</v>
      </c>
      <c r="AB352">
        <v>1</v>
      </c>
      <c r="AC352">
        <v>10504</v>
      </c>
      <c r="AD352">
        <v>40</v>
      </c>
      <c r="AE352">
        <v>106</v>
      </c>
      <c r="AF352">
        <v>0</v>
      </c>
      <c r="AG352">
        <v>10504</v>
      </c>
      <c r="AH352">
        <v>40</v>
      </c>
      <c r="AI352">
        <v>106</v>
      </c>
      <c r="AJ352">
        <v>0</v>
      </c>
      <c r="AK352">
        <v>0</v>
      </c>
      <c r="AL352">
        <v>0</v>
      </c>
      <c r="AM352">
        <v>0</v>
      </c>
    </row>
    <row r="353" spans="1:39" x14ac:dyDescent="0.3">
      <c r="A353" t="s">
        <v>290</v>
      </c>
      <c r="B353">
        <v>17636.665730000001</v>
      </c>
      <c r="C353">
        <v>7.1328000000000003E-2</v>
      </c>
      <c r="D353">
        <v>0</v>
      </c>
      <c r="E353">
        <v>-1</v>
      </c>
      <c r="F353">
        <v>-1</v>
      </c>
      <c r="G353">
        <v>-1</v>
      </c>
      <c r="H353">
        <v>0</v>
      </c>
      <c r="I353">
        <v>3600.0404159999998</v>
      </c>
      <c r="K353">
        <v>1</v>
      </c>
      <c r="M353">
        <v>100000</v>
      </c>
      <c r="N353">
        <v>1E-3</v>
      </c>
      <c r="O353">
        <v>-1</v>
      </c>
      <c r="Q353">
        <v>-1</v>
      </c>
      <c r="R353">
        <v>-1</v>
      </c>
      <c r="S353">
        <v>-1</v>
      </c>
      <c r="T353">
        <v>6.6325999999999996E-2</v>
      </c>
      <c r="U353">
        <v>-1</v>
      </c>
      <c r="V353">
        <v>-1</v>
      </c>
      <c r="W353">
        <v>0</v>
      </c>
      <c r="X353">
        <v>3599.9690879999998</v>
      </c>
      <c r="Z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</row>
    <row r="354" spans="1:39" x14ac:dyDescent="0.3">
      <c r="A354" t="s">
        <v>291</v>
      </c>
      <c r="B354">
        <v>18279.99711</v>
      </c>
      <c r="C354">
        <v>7.8519000000000005E-2</v>
      </c>
      <c r="D354">
        <v>0</v>
      </c>
      <c r="E354">
        <v>-1</v>
      </c>
      <c r="F354">
        <v>-1</v>
      </c>
      <c r="G354">
        <v>-1</v>
      </c>
      <c r="H354">
        <v>0</v>
      </c>
      <c r="I354">
        <v>3600.1066840000003</v>
      </c>
      <c r="K354">
        <v>1</v>
      </c>
      <c r="M354">
        <v>100000</v>
      </c>
      <c r="N354">
        <v>1E-3</v>
      </c>
      <c r="O354">
        <v>-1</v>
      </c>
      <c r="Q354">
        <v>-1</v>
      </c>
      <c r="R354">
        <v>-1</v>
      </c>
      <c r="S354">
        <v>-1</v>
      </c>
      <c r="T354">
        <v>0.13486600000000001</v>
      </c>
      <c r="U354">
        <v>-1</v>
      </c>
      <c r="V354">
        <v>-1</v>
      </c>
      <c r="W354">
        <v>0</v>
      </c>
      <c r="X354">
        <v>3600.0281650000002</v>
      </c>
      <c r="Z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</row>
    <row r="355" spans="1:39" x14ac:dyDescent="0.3">
      <c r="A355" t="s">
        <v>292</v>
      </c>
      <c r="B355">
        <v>18631.666669999999</v>
      </c>
      <c r="C355">
        <v>7.0324999999999999E-2</v>
      </c>
      <c r="D355">
        <v>0</v>
      </c>
      <c r="E355">
        <v>-1</v>
      </c>
      <c r="F355">
        <v>-1</v>
      </c>
      <c r="G355">
        <v>-1</v>
      </c>
      <c r="H355">
        <v>0</v>
      </c>
      <c r="I355">
        <v>3600.033089</v>
      </c>
      <c r="K355">
        <v>1</v>
      </c>
      <c r="M355">
        <v>100000</v>
      </c>
      <c r="N355">
        <v>1E-3</v>
      </c>
      <c r="O355">
        <v>-1</v>
      </c>
      <c r="Q355">
        <v>-1</v>
      </c>
      <c r="R355">
        <v>-1</v>
      </c>
      <c r="S355">
        <v>-1</v>
      </c>
      <c r="T355">
        <v>7.2132000000000002E-2</v>
      </c>
      <c r="U355">
        <v>-1</v>
      </c>
      <c r="V355">
        <v>-1</v>
      </c>
      <c r="W355">
        <v>0</v>
      </c>
      <c r="X355">
        <v>3599.9627639999999</v>
      </c>
      <c r="Z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</row>
    <row r="356" spans="1:39" x14ac:dyDescent="0.3">
      <c r="A356" t="s">
        <v>293</v>
      </c>
      <c r="B356">
        <v>18486.668280000002</v>
      </c>
      <c r="C356">
        <v>0.111512</v>
      </c>
      <c r="D356">
        <v>0</v>
      </c>
      <c r="E356">
        <v>-1</v>
      </c>
      <c r="F356">
        <v>-1</v>
      </c>
      <c r="G356">
        <v>-1</v>
      </c>
      <c r="H356">
        <v>0</v>
      </c>
      <c r="I356">
        <v>3600.0916910000001</v>
      </c>
      <c r="K356">
        <v>1</v>
      </c>
      <c r="M356">
        <v>100000</v>
      </c>
      <c r="N356">
        <v>1E-3</v>
      </c>
      <c r="O356">
        <v>-1</v>
      </c>
      <c r="Q356">
        <v>-1</v>
      </c>
      <c r="R356">
        <v>-1</v>
      </c>
      <c r="S356">
        <v>-1</v>
      </c>
      <c r="T356">
        <v>1.512E-2</v>
      </c>
      <c r="U356">
        <v>-1</v>
      </c>
      <c r="V356">
        <v>-1</v>
      </c>
      <c r="W356">
        <v>0</v>
      </c>
      <c r="X356">
        <v>3599.9801790000001</v>
      </c>
      <c r="Z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</row>
    <row r="357" spans="1:39" x14ac:dyDescent="0.3">
      <c r="A357" t="s">
        <v>294</v>
      </c>
      <c r="B357">
        <v>18559.999240000001</v>
      </c>
      <c r="C357">
        <v>9.7291000000000002E-2</v>
      </c>
      <c r="D357">
        <v>0</v>
      </c>
      <c r="E357">
        <v>138563.99919999999</v>
      </c>
      <c r="F357">
        <v>-1</v>
      </c>
      <c r="G357">
        <v>120004</v>
      </c>
      <c r="H357">
        <v>18559.999240000001</v>
      </c>
      <c r="I357">
        <v>3600.6923769999999</v>
      </c>
      <c r="K357">
        <v>1</v>
      </c>
      <c r="M357">
        <v>100000</v>
      </c>
      <c r="N357">
        <v>138563.99919999999</v>
      </c>
      <c r="O357">
        <v>-1</v>
      </c>
      <c r="Q357">
        <v>1</v>
      </c>
      <c r="R357">
        <v>-1</v>
      </c>
      <c r="S357">
        <v>-1</v>
      </c>
      <c r="T357">
        <v>0</v>
      </c>
      <c r="U357">
        <v>-1</v>
      </c>
      <c r="V357">
        <v>-1</v>
      </c>
      <c r="W357">
        <v>0</v>
      </c>
      <c r="X357">
        <v>1530.8710249999999</v>
      </c>
      <c r="Z357">
        <v>2069.7240609999999</v>
      </c>
      <c r="AB357">
        <v>1</v>
      </c>
      <c r="AC357">
        <v>8309</v>
      </c>
      <c r="AD357">
        <v>116</v>
      </c>
      <c r="AE357">
        <v>12739</v>
      </c>
      <c r="AF357">
        <v>18</v>
      </c>
      <c r="AG357">
        <v>8309</v>
      </c>
      <c r="AH357">
        <v>116</v>
      </c>
      <c r="AI357">
        <v>12739</v>
      </c>
      <c r="AJ357">
        <v>18</v>
      </c>
      <c r="AK357">
        <v>199.767</v>
      </c>
      <c r="AL357">
        <v>18</v>
      </c>
      <c r="AM357">
        <v>11.098167</v>
      </c>
    </row>
    <row r="358" spans="1:39" x14ac:dyDescent="0.3">
      <c r="A358" t="s">
        <v>295</v>
      </c>
      <c r="B358">
        <v>18416.664140000001</v>
      </c>
      <c r="C358">
        <v>0.101034</v>
      </c>
      <c r="D358">
        <v>0</v>
      </c>
      <c r="E358">
        <v>138420.66409999999</v>
      </c>
      <c r="F358">
        <v>-1</v>
      </c>
      <c r="G358">
        <v>120004</v>
      </c>
      <c r="H358">
        <v>18416.664140000001</v>
      </c>
      <c r="I358">
        <v>3600.0058939999994</v>
      </c>
      <c r="K358">
        <v>1</v>
      </c>
      <c r="M358">
        <v>100000</v>
      </c>
      <c r="N358">
        <v>138420.66409999999</v>
      </c>
      <c r="O358">
        <v>-1</v>
      </c>
      <c r="Q358">
        <v>1</v>
      </c>
      <c r="R358">
        <v>-1</v>
      </c>
      <c r="S358">
        <v>-1</v>
      </c>
      <c r="T358">
        <v>0</v>
      </c>
      <c r="U358">
        <v>-1</v>
      </c>
      <c r="V358">
        <v>-1</v>
      </c>
      <c r="W358">
        <v>0</v>
      </c>
      <c r="X358">
        <v>3477.2985629999998</v>
      </c>
      <c r="Z358">
        <v>122.606297</v>
      </c>
      <c r="AB358">
        <v>1</v>
      </c>
      <c r="AC358">
        <v>312</v>
      </c>
      <c r="AD358">
        <v>0</v>
      </c>
      <c r="AE358">
        <v>0</v>
      </c>
      <c r="AF358">
        <v>0</v>
      </c>
      <c r="AG358">
        <v>312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</row>
    <row r="359" spans="1:39" x14ac:dyDescent="0.3">
      <c r="A359" t="s">
        <v>296</v>
      </c>
      <c r="B359">
        <v>17676.669760000001</v>
      </c>
      <c r="C359">
        <v>0.100423</v>
      </c>
      <c r="D359">
        <v>0</v>
      </c>
      <c r="E359">
        <v>-1</v>
      </c>
      <c r="F359">
        <v>-1</v>
      </c>
      <c r="G359">
        <v>-1</v>
      </c>
      <c r="H359">
        <v>0</v>
      </c>
      <c r="I359">
        <v>3600.1250259999997</v>
      </c>
      <c r="K359">
        <v>1</v>
      </c>
      <c r="M359">
        <v>100000</v>
      </c>
      <c r="N359">
        <v>1E-3</v>
      </c>
      <c r="O359">
        <v>-1</v>
      </c>
      <c r="Q359">
        <v>-1</v>
      </c>
      <c r="R359">
        <v>-1</v>
      </c>
      <c r="S359">
        <v>-1</v>
      </c>
      <c r="T359">
        <v>7.2567000000000006E-2</v>
      </c>
      <c r="U359">
        <v>-1</v>
      </c>
      <c r="V359">
        <v>-1</v>
      </c>
      <c r="W359">
        <v>0</v>
      </c>
      <c r="X359">
        <v>3600.0246029999998</v>
      </c>
      <c r="Z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</row>
    <row r="360" spans="1:39" x14ac:dyDescent="0.3">
      <c r="A360" t="s">
        <v>297</v>
      </c>
      <c r="B360">
        <v>18620.000680000001</v>
      </c>
      <c r="C360">
        <v>7.4139999999999998E-2</v>
      </c>
      <c r="D360">
        <v>0</v>
      </c>
      <c r="E360">
        <v>138621.0007</v>
      </c>
      <c r="F360">
        <v>-1</v>
      </c>
      <c r="G360">
        <v>120001</v>
      </c>
      <c r="H360">
        <v>18620.000680000001</v>
      </c>
      <c r="I360">
        <v>3600.5705029999999</v>
      </c>
      <c r="K360">
        <v>1</v>
      </c>
      <c r="M360">
        <v>100000</v>
      </c>
      <c r="N360">
        <v>138621.0007</v>
      </c>
      <c r="O360">
        <v>-1</v>
      </c>
      <c r="Q360">
        <v>1</v>
      </c>
      <c r="R360">
        <v>-1</v>
      </c>
      <c r="S360">
        <v>-1</v>
      </c>
      <c r="T360">
        <v>0</v>
      </c>
      <c r="U360">
        <v>-1</v>
      </c>
      <c r="V360">
        <v>-1</v>
      </c>
      <c r="W360">
        <v>0</v>
      </c>
      <c r="X360">
        <v>1858.5310649999999</v>
      </c>
      <c r="Z360">
        <v>1741.9652980000001</v>
      </c>
      <c r="AB360">
        <v>1</v>
      </c>
      <c r="AC360">
        <v>18519</v>
      </c>
      <c r="AD360">
        <v>102</v>
      </c>
      <c r="AE360">
        <v>5187</v>
      </c>
      <c r="AF360">
        <v>0</v>
      </c>
      <c r="AG360">
        <v>18519</v>
      </c>
      <c r="AH360">
        <v>102</v>
      </c>
      <c r="AI360">
        <v>5187</v>
      </c>
      <c r="AJ360">
        <v>0</v>
      </c>
      <c r="AK360">
        <v>0</v>
      </c>
      <c r="AL360">
        <v>0</v>
      </c>
      <c r="AM360">
        <v>0</v>
      </c>
    </row>
    <row r="361" spans="1:39" x14ac:dyDescent="0.3">
      <c r="A361" t="s">
        <v>298</v>
      </c>
      <c r="B361">
        <v>17703.329470000001</v>
      </c>
      <c r="C361">
        <v>8.2279000000000005E-2</v>
      </c>
      <c r="D361">
        <v>0</v>
      </c>
      <c r="E361">
        <v>-1</v>
      </c>
      <c r="F361">
        <v>-1</v>
      </c>
      <c r="G361">
        <v>-1</v>
      </c>
      <c r="H361">
        <v>0</v>
      </c>
      <c r="I361">
        <v>3600.1343310000002</v>
      </c>
      <c r="K361">
        <v>1</v>
      </c>
      <c r="M361">
        <v>100000</v>
      </c>
      <c r="N361">
        <v>1E-3</v>
      </c>
      <c r="O361">
        <v>-1</v>
      </c>
      <c r="Q361">
        <v>-1</v>
      </c>
      <c r="R361">
        <v>-1</v>
      </c>
      <c r="S361">
        <v>-1</v>
      </c>
      <c r="T361">
        <v>0.135406</v>
      </c>
      <c r="U361">
        <v>-1</v>
      </c>
      <c r="V361">
        <v>-1</v>
      </c>
      <c r="W361">
        <v>0</v>
      </c>
      <c r="X361">
        <v>3600.052052</v>
      </c>
      <c r="Z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</row>
  </sheetData>
  <autoFilter ref="A1:A361" xr:uid="{00000000-0009-0000-0000-000000000000}"/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D1C0-1DB6-41BC-9E7A-F50005043EB1}">
  <dimension ref="A1:F13"/>
  <sheetViews>
    <sheetView tabSelected="1" workbookViewId="0">
      <selection activeCell="F12" sqref="F12"/>
    </sheetView>
  </sheetViews>
  <sheetFormatPr defaultRowHeight="14" x14ac:dyDescent="0.3"/>
  <cols>
    <col min="1" max="5" width="8.6640625" style="6"/>
  </cols>
  <sheetData>
    <row r="1" spans="1:6" x14ac:dyDescent="0.3">
      <c r="A1" s="6" t="s">
        <v>399</v>
      </c>
      <c r="B1" s="6" t="s">
        <v>394</v>
      </c>
      <c r="C1" s="6" t="s">
        <v>395</v>
      </c>
      <c r="D1" s="6" t="s">
        <v>401</v>
      </c>
      <c r="E1" s="6" t="s">
        <v>400</v>
      </c>
      <c r="F1" t="s">
        <v>396</v>
      </c>
    </row>
    <row r="2" spans="1:6" x14ac:dyDescent="0.3">
      <c r="A2" s="6">
        <v>10</v>
      </c>
      <c r="B2" s="6">
        <v>30</v>
      </c>
      <c r="C2" s="6">
        <v>0.28801916666666666</v>
      </c>
      <c r="D2" s="6">
        <v>9.6502466666666675E-2</v>
      </c>
      <c r="E2" s="6">
        <v>0.39501626666666667</v>
      </c>
      <c r="F2">
        <v>1</v>
      </c>
    </row>
    <row r="3" spans="1:6" x14ac:dyDescent="0.3">
      <c r="A3" s="6">
        <v>20</v>
      </c>
      <c r="B3" s="6">
        <v>30</v>
      </c>
      <c r="C3" s="6">
        <v>4.011529366666668</v>
      </c>
      <c r="D3" s="6">
        <v>0.93951506666666651</v>
      </c>
      <c r="E3" s="6">
        <v>4.9711645999999989</v>
      </c>
      <c r="F3">
        <v>1.0666666666666667</v>
      </c>
    </row>
    <row r="4" spans="1:6" x14ac:dyDescent="0.3">
      <c r="A4" s="6">
        <v>30</v>
      </c>
      <c r="B4" s="6">
        <v>30</v>
      </c>
      <c r="C4" s="6">
        <v>124.33776373333335</v>
      </c>
      <c r="D4" s="6">
        <v>5.8331831999999997</v>
      </c>
      <c r="E4" s="6">
        <v>130.19708353333334</v>
      </c>
      <c r="F4">
        <v>1</v>
      </c>
    </row>
    <row r="5" spans="1:6" x14ac:dyDescent="0.3">
      <c r="A5" s="6">
        <v>40</v>
      </c>
      <c r="B5" s="6">
        <v>29</v>
      </c>
      <c r="C5" s="6">
        <v>108.93182834482758</v>
      </c>
      <c r="D5" s="6">
        <v>203.75806737931035</v>
      </c>
      <c r="E5" s="6">
        <v>312.72638793103448</v>
      </c>
      <c r="F5">
        <v>2</v>
      </c>
    </row>
    <row r="6" spans="1:6" x14ac:dyDescent="0.3">
      <c r="A6" s="6">
        <v>50</v>
      </c>
      <c r="B6" s="6">
        <v>23</v>
      </c>
      <c r="C6" s="6">
        <v>386.02701460869565</v>
      </c>
      <c r="D6" s="6">
        <v>210.22057656521741</v>
      </c>
      <c r="E6" s="6">
        <v>596.28541260869565</v>
      </c>
      <c r="F6">
        <v>1.3478260869565217</v>
      </c>
    </row>
    <row r="7" spans="1:6" x14ac:dyDescent="0.3">
      <c r="A7" s="6">
        <v>60</v>
      </c>
      <c r="B7" s="6">
        <v>23</v>
      </c>
      <c r="C7" s="6">
        <v>253.1616955652174</v>
      </c>
      <c r="D7" s="6">
        <v>191.75090117391301</v>
      </c>
      <c r="E7" s="6">
        <v>444.95953817391296</v>
      </c>
      <c r="F7">
        <v>1</v>
      </c>
    </row>
    <row r="8" spans="1:6" x14ac:dyDescent="0.3">
      <c r="A8" s="6">
        <v>70</v>
      </c>
      <c r="B8" s="6">
        <v>15</v>
      </c>
      <c r="C8" s="6">
        <v>346.57504433333332</v>
      </c>
      <c r="D8" s="6">
        <v>923.66652126666656</v>
      </c>
      <c r="E8" s="6">
        <v>1270.3009928666668</v>
      </c>
      <c r="F8">
        <v>1.0666666666666667</v>
      </c>
    </row>
    <row r="9" spans="1:6" x14ac:dyDescent="0.3">
      <c r="A9" s="6">
        <v>80</v>
      </c>
      <c r="B9" s="6">
        <v>18</v>
      </c>
      <c r="C9" s="6">
        <v>401.32395455555559</v>
      </c>
      <c r="D9" s="6">
        <v>1213.3006517222225</v>
      </c>
      <c r="E9" s="6">
        <v>1614.7061436111114</v>
      </c>
      <c r="F9">
        <v>1</v>
      </c>
    </row>
    <row r="10" spans="1:6" x14ac:dyDescent="0.3">
      <c r="A10" s="6">
        <v>90</v>
      </c>
      <c r="B10" s="6">
        <v>9</v>
      </c>
      <c r="C10" s="6">
        <v>494.32317544444442</v>
      </c>
      <c r="D10" s="6">
        <v>1721.4489272222224</v>
      </c>
      <c r="E10" s="6">
        <v>2215.8342726666665</v>
      </c>
      <c r="F10">
        <v>1</v>
      </c>
    </row>
    <row r="11" spans="1:6" x14ac:dyDescent="0.3">
      <c r="A11" s="6">
        <v>100</v>
      </c>
      <c r="B11" s="6">
        <v>3</v>
      </c>
      <c r="C11" s="6">
        <v>891.68221433333338</v>
      </c>
      <c r="D11" s="6">
        <v>1460.591878</v>
      </c>
      <c r="E11" s="6">
        <v>2352.3527356666668</v>
      </c>
      <c r="F11">
        <v>1</v>
      </c>
    </row>
    <row r="12" spans="1:6" x14ac:dyDescent="0.3">
      <c r="A12" s="6">
        <v>110</v>
      </c>
      <c r="B12" s="6">
        <v>1</v>
      </c>
      <c r="C12" s="6">
        <v>888.31858399999999</v>
      </c>
      <c r="D12" s="6">
        <v>1630.148514</v>
      </c>
      <c r="E12" s="6">
        <v>2518.557468</v>
      </c>
      <c r="F12">
        <v>1</v>
      </c>
    </row>
    <row r="13" spans="1:6" x14ac:dyDescent="0.3">
      <c r="A13" s="6">
        <v>120</v>
      </c>
      <c r="B13" s="6">
        <v>0</v>
      </c>
      <c r="C13" s="6" t="s">
        <v>397</v>
      </c>
      <c r="D13" s="6" t="s">
        <v>397</v>
      </c>
      <c r="E13" s="6" t="s">
        <v>402</v>
      </c>
      <c r="F13" t="s">
        <v>398</v>
      </c>
    </row>
  </sheetData>
  <autoFilter ref="B1:B13" xr:uid="{F1DBD1C0-1DB6-41BC-9E7A-F50005043EB1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0-NLBBD-Com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Xinyi Guo</dc:creator>
  <cp:lastModifiedBy>Xinyi Guo</cp:lastModifiedBy>
  <dcterms:created xsi:type="dcterms:W3CDTF">2024-07-12T17:47:22Z</dcterms:created>
  <dcterms:modified xsi:type="dcterms:W3CDTF">2024-07-31T15:35:39Z</dcterms:modified>
</cp:coreProperties>
</file>